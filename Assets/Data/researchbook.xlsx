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gra\OneDrive\Documents\UFU\project\CodesUnity\Ski3D\Assets\Data\"/>
    </mc:Choice>
  </mc:AlternateContent>
  <xr:revisionPtr revIDLastSave="0" documentId="13_ncr:1_{4FA9D20B-A942-4E25-A2D0-EA7E4A764FCC}" xr6:coauthVersionLast="47" xr6:coauthVersionMax="47" xr10:uidLastSave="{00000000-0000-0000-0000-000000000000}"/>
  <bookViews>
    <workbookView xWindow="-108" yWindow="-108" windowWidth="23256" windowHeight="12456" activeTab="2" xr2:uid="{ADB67C28-6BAD-4B62-9254-4F90BDB16827}"/>
  </bookViews>
  <sheets>
    <sheet name="rollMovement2" sheetId="10" r:id="rId1"/>
    <sheet name="pitchMovement2" sheetId="9" r:id="rId2"/>
    <sheet name="reallifemeasures" sheetId="11" r:id="rId3"/>
    <sheet name="yawMovement" sheetId="8" r:id="rId4"/>
    <sheet name="rollMovement (2)" sheetId="7" r:id="rId5"/>
    <sheet name="rollMovement" sheetId="6" r:id="rId6"/>
    <sheet name="pitchMovement" sheetId="5" r:id="rId7"/>
    <sheet name="pichMovement (3)" sheetId="4" r:id="rId8"/>
    <sheet name="pichMovement" sheetId="2" r:id="rId9"/>
    <sheet name="Sheet1" sheetId="1" r:id="rId10"/>
  </sheets>
  <definedNames>
    <definedName name="ExternalData_1" localSheetId="8" hidden="1">pichMovement!$A$1:$ALL$7</definedName>
    <definedName name="ExternalData_2" localSheetId="7" hidden="1">'pichMovement (3)'!$A$1:$CV$7</definedName>
    <definedName name="ExternalData_3" localSheetId="6" hidden="1">pitchMovement!$A$1:$CV$7</definedName>
    <definedName name="ExternalData_4" localSheetId="5" hidden="1">'rollMovement'!$A$1:$CW$7</definedName>
    <definedName name="ExternalData_5" localSheetId="4" hidden="1">'rollMovement (2)'!$A$1:$CW$7</definedName>
    <definedName name="ExternalData_6" localSheetId="3" hidden="1">yawMovement!$A$1:$CW$7</definedName>
    <definedName name="ExternalData_7" localSheetId="1" hidden="1">pitchMovement2!$A$1:$CX$7</definedName>
    <definedName name="ExternalData_8" localSheetId="0" hidden="1">'rollMovement2'!$A$1:$CX$7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1" l="1"/>
  <c r="D23" i="11" s="1"/>
  <c r="E23" i="11" s="1"/>
  <c r="F23" i="11" s="1"/>
  <c r="G23" i="11" s="1"/>
  <c r="H23" i="11" s="1"/>
  <c r="I23" i="11" s="1"/>
  <c r="J23" i="11" s="1"/>
  <c r="C17" i="11"/>
  <c r="D17" i="11" s="1"/>
  <c r="E17" i="11" s="1"/>
  <c r="F17" i="11" s="1"/>
  <c r="G17" i="11" s="1"/>
  <c r="H17" i="11" s="1"/>
  <c r="I17" i="11" s="1"/>
  <c r="J17" i="11" s="1"/>
  <c r="D11" i="11"/>
  <c r="E11" i="11"/>
  <c r="F11" i="11" s="1"/>
  <c r="G11" i="11" s="1"/>
  <c r="H11" i="11" s="1"/>
  <c r="I11" i="11" s="1"/>
  <c r="J11" i="11" s="1"/>
  <c r="C11" i="11"/>
  <c r="J2" i="11"/>
  <c r="K2" i="11" s="1"/>
  <c r="D2" i="11"/>
  <c r="E2" i="11"/>
  <c r="F2" i="11"/>
  <c r="G2" i="11" s="1"/>
  <c r="H2" i="11" s="1"/>
  <c r="I2" i="11" s="1"/>
  <c r="C2" i="11"/>
  <c r="C11" i="10"/>
  <c r="D11" i="10" s="1"/>
  <c r="E11" i="10" s="1"/>
  <c r="F11" i="10" s="1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Y11" i="10" s="1"/>
  <c r="Z11" i="10" s="1"/>
  <c r="AA11" i="10" s="1"/>
  <c r="AB11" i="10" s="1"/>
  <c r="AC11" i="10" s="1"/>
  <c r="AD11" i="10" s="1"/>
  <c r="AE11" i="10" s="1"/>
  <c r="AF11" i="10" s="1"/>
  <c r="AG11" i="10" s="1"/>
  <c r="AH11" i="10" s="1"/>
  <c r="AI11" i="10" s="1"/>
  <c r="AJ11" i="10" s="1"/>
  <c r="AK11" i="10" s="1"/>
  <c r="AL11" i="10" s="1"/>
  <c r="AM11" i="10" s="1"/>
  <c r="AN11" i="10" s="1"/>
  <c r="AO11" i="10" s="1"/>
  <c r="AP11" i="10" s="1"/>
  <c r="AQ11" i="10" s="1"/>
  <c r="AR11" i="10" s="1"/>
  <c r="AS11" i="10" s="1"/>
  <c r="AT11" i="10" s="1"/>
  <c r="AU11" i="10" s="1"/>
  <c r="AV11" i="10" s="1"/>
  <c r="AW11" i="10" s="1"/>
  <c r="AX11" i="10" s="1"/>
  <c r="AY11" i="10" s="1"/>
  <c r="AZ11" i="10" s="1"/>
  <c r="BA11" i="10" s="1"/>
  <c r="BB11" i="10" s="1"/>
  <c r="BC11" i="10" s="1"/>
  <c r="BD11" i="10" s="1"/>
  <c r="BE11" i="10" s="1"/>
  <c r="BF11" i="10" s="1"/>
  <c r="BG11" i="10" s="1"/>
  <c r="BH11" i="10" s="1"/>
  <c r="BI11" i="10" s="1"/>
  <c r="BJ11" i="10" s="1"/>
  <c r="BK11" i="10" s="1"/>
  <c r="BL11" i="10" s="1"/>
  <c r="BM11" i="10" s="1"/>
  <c r="BN11" i="10" s="1"/>
  <c r="BO11" i="10" s="1"/>
  <c r="BP11" i="10" s="1"/>
  <c r="BQ11" i="10" s="1"/>
  <c r="BR11" i="10" s="1"/>
  <c r="BS11" i="10" s="1"/>
  <c r="BT11" i="10" s="1"/>
  <c r="BU11" i="10" s="1"/>
  <c r="BV11" i="10" s="1"/>
  <c r="BW11" i="10" s="1"/>
  <c r="BX11" i="10" s="1"/>
  <c r="BY11" i="10" s="1"/>
  <c r="BZ11" i="10" s="1"/>
  <c r="CA11" i="10" s="1"/>
  <c r="CB11" i="10" s="1"/>
  <c r="CC11" i="10" s="1"/>
  <c r="CD11" i="10" s="1"/>
  <c r="CE11" i="10" s="1"/>
  <c r="CF11" i="10" s="1"/>
  <c r="CG11" i="10" s="1"/>
  <c r="CH11" i="10" s="1"/>
  <c r="CI11" i="10" s="1"/>
  <c r="CJ11" i="10" s="1"/>
  <c r="CK11" i="10" s="1"/>
  <c r="CL11" i="10" s="1"/>
  <c r="CM11" i="10" s="1"/>
  <c r="CN11" i="10" s="1"/>
  <c r="CO11" i="10" s="1"/>
  <c r="CP11" i="10" s="1"/>
  <c r="CQ11" i="10" s="1"/>
  <c r="CR11" i="10" s="1"/>
  <c r="CS11" i="10" s="1"/>
  <c r="CT11" i="10" s="1"/>
  <c r="CU11" i="10" s="1"/>
  <c r="CV11" i="10" s="1"/>
  <c r="CW11" i="10" s="1"/>
  <c r="B11" i="10"/>
  <c r="C11" i="9"/>
  <c r="D11" i="9" s="1"/>
  <c r="E11" i="9" s="1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X11" i="9" s="1"/>
  <c r="Y11" i="9" s="1"/>
  <c r="Z11" i="9" s="1"/>
  <c r="AA11" i="9" s="1"/>
  <c r="AB11" i="9" s="1"/>
  <c r="AC11" i="9" s="1"/>
  <c r="AD11" i="9" s="1"/>
  <c r="AE11" i="9" s="1"/>
  <c r="AF11" i="9" s="1"/>
  <c r="AG11" i="9" s="1"/>
  <c r="AH11" i="9" s="1"/>
  <c r="AI11" i="9" s="1"/>
  <c r="AJ11" i="9" s="1"/>
  <c r="AK11" i="9" s="1"/>
  <c r="AL11" i="9" s="1"/>
  <c r="AM11" i="9" s="1"/>
  <c r="AN11" i="9" s="1"/>
  <c r="AO11" i="9" s="1"/>
  <c r="AP11" i="9" s="1"/>
  <c r="AQ11" i="9" s="1"/>
  <c r="AR11" i="9" s="1"/>
  <c r="AS11" i="9" s="1"/>
  <c r="AT11" i="9" s="1"/>
  <c r="AU11" i="9" s="1"/>
  <c r="AV11" i="9" s="1"/>
  <c r="AW11" i="9" s="1"/>
  <c r="AX11" i="9" s="1"/>
  <c r="AY11" i="9" s="1"/>
  <c r="AZ11" i="9" s="1"/>
  <c r="BA11" i="9" s="1"/>
  <c r="BB11" i="9" s="1"/>
  <c r="BC11" i="9" s="1"/>
  <c r="BD11" i="9" s="1"/>
  <c r="BE11" i="9" s="1"/>
  <c r="BF11" i="9" s="1"/>
  <c r="BG11" i="9" s="1"/>
  <c r="BH11" i="9" s="1"/>
  <c r="BI11" i="9" s="1"/>
  <c r="BJ11" i="9" s="1"/>
  <c r="BK11" i="9" s="1"/>
  <c r="BL11" i="9" s="1"/>
  <c r="BM11" i="9" s="1"/>
  <c r="BN11" i="9" s="1"/>
  <c r="BO11" i="9" s="1"/>
  <c r="BP11" i="9" s="1"/>
  <c r="BQ11" i="9" s="1"/>
  <c r="BR11" i="9" s="1"/>
  <c r="BS11" i="9" s="1"/>
  <c r="BT11" i="9" s="1"/>
  <c r="BU11" i="9" s="1"/>
  <c r="BV11" i="9" s="1"/>
  <c r="BW11" i="9" s="1"/>
  <c r="BX11" i="9" s="1"/>
  <c r="BY11" i="9" s="1"/>
  <c r="BZ11" i="9" s="1"/>
  <c r="CA11" i="9" s="1"/>
  <c r="CB11" i="9" s="1"/>
  <c r="CC11" i="9" s="1"/>
  <c r="CD11" i="9" s="1"/>
  <c r="CE11" i="9" s="1"/>
  <c r="CF11" i="9" s="1"/>
  <c r="CG11" i="9" s="1"/>
  <c r="CH11" i="9" s="1"/>
  <c r="CI11" i="9" s="1"/>
  <c r="CJ11" i="9" s="1"/>
  <c r="CK11" i="9" s="1"/>
  <c r="CL11" i="9" s="1"/>
  <c r="CM11" i="9" s="1"/>
  <c r="CN11" i="9" s="1"/>
  <c r="CO11" i="9" s="1"/>
  <c r="CP11" i="9" s="1"/>
  <c r="CQ11" i="9" s="1"/>
  <c r="CR11" i="9" s="1"/>
  <c r="CS11" i="9" s="1"/>
  <c r="CT11" i="9" s="1"/>
  <c r="CU11" i="9" s="1"/>
  <c r="CV11" i="9" s="1"/>
  <c r="CW11" i="9" s="1"/>
  <c r="B11" i="9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CF9" i="10"/>
  <c r="CG9" i="10"/>
  <c r="CH9" i="10"/>
  <c r="CI9" i="10"/>
  <c r="CJ9" i="10"/>
  <c r="CK9" i="10"/>
  <c r="CL9" i="10"/>
  <c r="CM9" i="10"/>
  <c r="CN9" i="10"/>
  <c r="CO9" i="10"/>
  <c r="CP9" i="10"/>
  <c r="CQ9" i="10"/>
  <c r="CR9" i="10"/>
  <c r="CS9" i="10"/>
  <c r="CT9" i="10"/>
  <c r="CU9" i="10"/>
  <c r="CV9" i="10"/>
  <c r="CW9" i="10"/>
  <c r="A9" i="10"/>
  <c r="BA8" i="10"/>
  <c r="BB8" i="10"/>
  <c r="BC8" i="10"/>
  <c r="BD8" i="10"/>
  <c r="BE8" i="10"/>
  <c r="BF8" i="10"/>
  <c r="BG8" i="10"/>
  <c r="BH8" i="10"/>
  <c r="BI8" i="10"/>
  <c r="BJ8" i="10"/>
  <c r="BK8" i="10"/>
  <c r="BL8" i="10"/>
  <c r="BM8" i="10"/>
  <c r="BN8" i="10"/>
  <c r="BO8" i="10"/>
  <c r="BP8" i="10"/>
  <c r="BQ8" i="10"/>
  <c r="BR8" i="10"/>
  <c r="BS8" i="10"/>
  <c r="BT8" i="10"/>
  <c r="BU8" i="10"/>
  <c r="BV8" i="10"/>
  <c r="BW8" i="10"/>
  <c r="BX8" i="10"/>
  <c r="BY8" i="10"/>
  <c r="BZ8" i="10"/>
  <c r="CA8" i="10"/>
  <c r="CB8" i="10"/>
  <c r="CC8" i="10"/>
  <c r="CD8" i="10"/>
  <c r="CE8" i="10"/>
  <c r="CF8" i="10"/>
  <c r="CG8" i="10"/>
  <c r="CH8" i="10"/>
  <c r="CI8" i="10"/>
  <c r="CJ8" i="10"/>
  <c r="CK8" i="10"/>
  <c r="CL8" i="10"/>
  <c r="CM8" i="10"/>
  <c r="CN8" i="10"/>
  <c r="CO8" i="10"/>
  <c r="CP8" i="10"/>
  <c r="CQ8" i="10"/>
  <c r="CR8" i="10"/>
  <c r="CS8" i="10"/>
  <c r="CT8" i="10"/>
  <c r="CU8" i="10"/>
  <c r="CV8" i="10"/>
  <c r="CW8" i="10"/>
  <c r="AZ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8" i="10"/>
  <c r="A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CT9" i="9"/>
  <c r="CU9" i="9"/>
  <c r="CV9" i="9"/>
  <c r="CW9" i="9"/>
  <c r="CX9" i="9"/>
  <c r="A9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CV8" i="9"/>
  <c r="CW8" i="9"/>
  <c r="CX8" i="9"/>
  <c r="AZ8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C16" i="8"/>
  <c r="D16" i="8"/>
  <c r="E16" i="8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AV16" i="8" s="1"/>
  <c r="AW16" i="8" s="1"/>
  <c r="AX16" i="8" s="1"/>
  <c r="AY16" i="8" s="1"/>
  <c r="AZ16" i="8" s="1"/>
  <c r="BA16" i="8" s="1"/>
  <c r="BB16" i="8" s="1"/>
  <c r="BC16" i="8" s="1"/>
  <c r="BD16" i="8" s="1"/>
  <c r="BE16" i="8" s="1"/>
  <c r="BF16" i="8" s="1"/>
  <c r="BG16" i="8" s="1"/>
  <c r="BH16" i="8" s="1"/>
  <c r="BI16" i="8" s="1"/>
  <c r="BJ16" i="8" s="1"/>
  <c r="BK16" i="8" s="1"/>
  <c r="BL16" i="8" s="1"/>
  <c r="BM16" i="8" s="1"/>
  <c r="BN16" i="8" s="1"/>
  <c r="BO16" i="8" s="1"/>
  <c r="BP16" i="8" s="1"/>
  <c r="BQ16" i="8" s="1"/>
  <c r="BR16" i="8" s="1"/>
  <c r="BS16" i="8" s="1"/>
  <c r="BT16" i="8" s="1"/>
  <c r="BU16" i="8" s="1"/>
  <c r="BV16" i="8" s="1"/>
  <c r="BW16" i="8" s="1"/>
  <c r="BX16" i="8" s="1"/>
  <c r="BY16" i="8" s="1"/>
  <c r="BZ16" i="8" s="1"/>
  <c r="CA16" i="8" s="1"/>
  <c r="CB16" i="8" s="1"/>
  <c r="CC16" i="8" s="1"/>
  <c r="CD16" i="8" s="1"/>
  <c r="CE16" i="8" s="1"/>
  <c r="CF16" i="8" s="1"/>
  <c r="CG16" i="8" s="1"/>
  <c r="CH16" i="8" s="1"/>
  <c r="CI16" i="8" s="1"/>
  <c r="CJ16" i="8" s="1"/>
  <c r="CK16" i="8" s="1"/>
  <c r="CL16" i="8" s="1"/>
  <c r="CM16" i="8" s="1"/>
  <c r="CN16" i="8" s="1"/>
  <c r="CO16" i="8" s="1"/>
  <c r="CP16" i="8" s="1"/>
  <c r="CQ16" i="8" s="1"/>
  <c r="CR16" i="8" s="1"/>
  <c r="CS16" i="8" s="1"/>
  <c r="CT16" i="8" s="1"/>
  <c r="CU16" i="8" s="1"/>
  <c r="CV16" i="8" s="1"/>
  <c r="CW16" i="8" s="1"/>
  <c r="B16" i="8"/>
  <c r="A16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CW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CW14" i="8"/>
  <c r="A12" i="8"/>
  <c r="A13" i="8"/>
  <c r="A14" i="8"/>
  <c r="A11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W9" i="8"/>
  <c r="A9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CW8" i="8"/>
  <c r="AZ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8" i="8"/>
  <c r="O15" i="4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15" i="4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B15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D12" i="4"/>
  <c r="D13" i="4"/>
  <c r="D14" i="4"/>
  <c r="D11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B8" i="4"/>
  <c r="B9" i="4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A12" i="7"/>
  <c r="A13" i="7"/>
  <c r="A14" i="7"/>
  <c r="A11" i="7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F11" i="5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A9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AZ8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8" i="7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CW8" i="6"/>
  <c r="AY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B9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B8" i="5"/>
  <c r="A8" i="5"/>
  <c r="A9" i="4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OH9" i="2"/>
  <c r="OI9" i="2"/>
  <c r="OJ9" i="2"/>
  <c r="OK9" i="2"/>
  <c r="OL9" i="2"/>
  <c r="OM9" i="2"/>
  <c r="ON9" i="2"/>
  <c r="OO9" i="2"/>
  <c r="OP9" i="2"/>
  <c r="OQ9" i="2"/>
  <c r="OR9" i="2"/>
  <c r="OS9" i="2"/>
  <c r="OT9" i="2"/>
  <c r="OU9" i="2"/>
  <c r="OV9" i="2"/>
  <c r="OW9" i="2"/>
  <c r="OX9" i="2"/>
  <c r="OY9" i="2"/>
  <c r="OZ9" i="2"/>
  <c r="PA9" i="2"/>
  <c r="PB9" i="2"/>
  <c r="PC9" i="2"/>
  <c r="PD9" i="2"/>
  <c r="PE9" i="2"/>
  <c r="PF9" i="2"/>
  <c r="PG9" i="2"/>
  <c r="PH9" i="2"/>
  <c r="PI9" i="2"/>
  <c r="PJ9" i="2"/>
  <c r="PK9" i="2"/>
  <c r="PL9" i="2"/>
  <c r="PM9" i="2"/>
  <c r="PN9" i="2"/>
  <c r="PO9" i="2"/>
  <c r="PP9" i="2"/>
  <c r="PQ9" i="2"/>
  <c r="PR9" i="2"/>
  <c r="PS9" i="2"/>
  <c r="PT9" i="2"/>
  <c r="PU9" i="2"/>
  <c r="PV9" i="2"/>
  <c r="PW9" i="2"/>
  <c r="PX9" i="2"/>
  <c r="PY9" i="2"/>
  <c r="PZ9" i="2"/>
  <c r="QA9" i="2"/>
  <c r="QB9" i="2"/>
  <c r="QC9" i="2"/>
  <c r="QD9" i="2"/>
  <c r="QE9" i="2"/>
  <c r="QF9" i="2"/>
  <c r="QG9" i="2"/>
  <c r="QH9" i="2"/>
  <c r="QI9" i="2"/>
  <c r="QJ9" i="2"/>
  <c r="QK9" i="2"/>
  <c r="QL9" i="2"/>
  <c r="QM9" i="2"/>
  <c r="QN9" i="2"/>
  <c r="QO9" i="2"/>
  <c r="QP9" i="2"/>
  <c r="QQ9" i="2"/>
  <c r="QR9" i="2"/>
  <c r="QS9" i="2"/>
  <c r="QT9" i="2"/>
  <c r="QU9" i="2"/>
  <c r="QV9" i="2"/>
  <c r="QW9" i="2"/>
  <c r="QX9" i="2"/>
  <c r="QY9" i="2"/>
  <c r="QZ9" i="2"/>
  <c r="RA9" i="2"/>
  <c r="RB9" i="2"/>
  <c r="RC9" i="2"/>
  <c r="RD9" i="2"/>
  <c r="RE9" i="2"/>
  <c r="RF9" i="2"/>
  <c r="RG9" i="2"/>
  <c r="RH9" i="2"/>
  <c r="RI9" i="2"/>
  <c r="RJ9" i="2"/>
  <c r="RK9" i="2"/>
  <c r="RL9" i="2"/>
  <c r="RM9" i="2"/>
  <c r="RN9" i="2"/>
  <c r="RO9" i="2"/>
  <c r="RP9" i="2"/>
  <c r="RQ9" i="2"/>
  <c r="RR9" i="2"/>
  <c r="RS9" i="2"/>
  <c r="RT9" i="2"/>
  <c r="RU9" i="2"/>
  <c r="RV9" i="2"/>
  <c r="RW9" i="2"/>
  <c r="RX9" i="2"/>
  <c r="RY9" i="2"/>
  <c r="RZ9" i="2"/>
  <c r="SA9" i="2"/>
  <c r="SB9" i="2"/>
  <c r="SC9" i="2"/>
  <c r="SD9" i="2"/>
  <c r="SE9" i="2"/>
  <c r="SF9" i="2"/>
  <c r="SG9" i="2"/>
  <c r="SH9" i="2"/>
  <c r="SI9" i="2"/>
  <c r="SJ9" i="2"/>
  <c r="SK9" i="2"/>
  <c r="SL9" i="2"/>
  <c r="SM9" i="2"/>
  <c r="SN9" i="2"/>
  <c r="SO9" i="2"/>
  <c r="SP9" i="2"/>
  <c r="SQ9" i="2"/>
  <c r="SR9" i="2"/>
  <c r="SS9" i="2"/>
  <c r="ST9" i="2"/>
  <c r="SU9" i="2"/>
  <c r="SV9" i="2"/>
  <c r="SW9" i="2"/>
  <c r="SX9" i="2"/>
  <c r="SY9" i="2"/>
  <c r="SZ9" i="2"/>
  <c r="TA9" i="2"/>
  <c r="TB9" i="2"/>
  <c r="TC9" i="2"/>
  <c r="TD9" i="2"/>
  <c r="TE9" i="2"/>
  <c r="TF9" i="2"/>
  <c r="TG9" i="2"/>
  <c r="TH9" i="2"/>
  <c r="TI9" i="2"/>
  <c r="TJ9" i="2"/>
  <c r="TK9" i="2"/>
  <c r="TL9" i="2"/>
  <c r="TM9" i="2"/>
  <c r="TN9" i="2"/>
  <c r="TO9" i="2"/>
  <c r="TP9" i="2"/>
  <c r="TQ9" i="2"/>
  <c r="TR9" i="2"/>
  <c r="TS9" i="2"/>
  <c r="TT9" i="2"/>
  <c r="TU9" i="2"/>
  <c r="TV9" i="2"/>
  <c r="TW9" i="2"/>
  <c r="TX9" i="2"/>
  <c r="TY9" i="2"/>
  <c r="TZ9" i="2"/>
  <c r="UA9" i="2"/>
  <c r="UB9" i="2"/>
  <c r="UC9" i="2"/>
  <c r="UD9" i="2"/>
  <c r="UE9" i="2"/>
  <c r="UF9" i="2"/>
  <c r="UG9" i="2"/>
  <c r="UH9" i="2"/>
  <c r="UI9" i="2"/>
  <c r="UJ9" i="2"/>
  <c r="UK9" i="2"/>
  <c r="UL9" i="2"/>
  <c r="UM9" i="2"/>
  <c r="UN9" i="2"/>
  <c r="UO9" i="2"/>
  <c r="UP9" i="2"/>
  <c r="UQ9" i="2"/>
  <c r="UR9" i="2"/>
  <c r="US9" i="2"/>
  <c r="UT9" i="2"/>
  <c r="UU9" i="2"/>
  <c r="UV9" i="2"/>
  <c r="UW9" i="2"/>
  <c r="UX9" i="2"/>
  <c r="UY9" i="2"/>
  <c r="UZ9" i="2"/>
  <c r="VA9" i="2"/>
  <c r="VB9" i="2"/>
  <c r="VC9" i="2"/>
  <c r="VD9" i="2"/>
  <c r="VE9" i="2"/>
  <c r="VF9" i="2"/>
  <c r="VG9" i="2"/>
  <c r="VH9" i="2"/>
  <c r="VI9" i="2"/>
  <c r="VJ9" i="2"/>
  <c r="VK9" i="2"/>
  <c r="VL9" i="2"/>
  <c r="VM9" i="2"/>
  <c r="VN9" i="2"/>
  <c r="VO9" i="2"/>
  <c r="VP9" i="2"/>
  <c r="VQ9" i="2"/>
  <c r="VR9" i="2"/>
  <c r="VS9" i="2"/>
  <c r="VT9" i="2"/>
  <c r="VU9" i="2"/>
  <c r="VV9" i="2"/>
  <c r="VW9" i="2"/>
  <c r="VX9" i="2"/>
  <c r="VY9" i="2"/>
  <c r="VZ9" i="2"/>
  <c r="WA9" i="2"/>
  <c r="WB9" i="2"/>
  <c r="WC9" i="2"/>
  <c r="WD9" i="2"/>
  <c r="WE9" i="2"/>
  <c r="WF9" i="2"/>
  <c r="WG9" i="2"/>
  <c r="WH9" i="2"/>
  <c r="WI9" i="2"/>
  <c r="WJ9" i="2"/>
  <c r="WK9" i="2"/>
  <c r="WL9" i="2"/>
  <c r="WM9" i="2"/>
  <c r="WN9" i="2"/>
  <c r="WO9" i="2"/>
  <c r="WP9" i="2"/>
  <c r="WQ9" i="2"/>
  <c r="WR9" i="2"/>
  <c r="WS9" i="2"/>
  <c r="WT9" i="2"/>
  <c r="WU9" i="2"/>
  <c r="WV9" i="2"/>
  <c r="WW9" i="2"/>
  <c r="WX9" i="2"/>
  <c r="WY9" i="2"/>
  <c r="WZ9" i="2"/>
  <c r="XA9" i="2"/>
  <c r="XB9" i="2"/>
  <c r="XC9" i="2"/>
  <c r="XD9" i="2"/>
  <c r="XE9" i="2"/>
  <c r="XF9" i="2"/>
  <c r="XG9" i="2"/>
  <c r="XH9" i="2"/>
  <c r="XI9" i="2"/>
  <c r="XJ9" i="2"/>
  <c r="XK9" i="2"/>
  <c r="XL9" i="2"/>
  <c r="XM9" i="2"/>
  <c r="XN9" i="2"/>
  <c r="XO9" i="2"/>
  <c r="XP9" i="2"/>
  <c r="XQ9" i="2"/>
  <c r="XR9" i="2"/>
  <c r="XS9" i="2"/>
  <c r="XT9" i="2"/>
  <c r="XU9" i="2"/>
  <c r="XV9" i="2"/>
  <c r="XW9" i="2"/>
  <c r="XX9" i="2"/>
  <c r="XY9" i="2"/>
  <c r="XZ9" i="2"/>
  <c r="YA9" i="2"/>
  <c r="YB9" i="2"/>
  <c r="YC9" i="2"/>
  <c r="YD9" i="2"/>
  <c r="YE9" i="2"/>
  <c r="YF9" i="2"/>
  <c r="YG9" i="2"/>
  <c r="YH9" i="2"/>
  <c r="YI9" i="2"/>
  <c r="YJ9" i="2"/>
  <c r="YK9" i="2"/>
  <c r="YL9" i="2"/>
  <c r="YM9" i="2"/>
  <c r="YN9" i="2"/>
  <c r="YO9" i="2"/>
  <c r="YP9" i="2"/>
  <c r="YQ9" i="2"/>
  <c r="YR9" i="2"/>
  <c r="YS9" i="2"/>
  <c r="YT9" i="2"/>
  <c r="YU9" i="2"/>
  <c r="YV9" i="2"/>
  <c r="YW9" i="2"/>
  <c r="YX9" i="2"/>
  <c r="YY9" i="2"/>
  <c r="YZ9" i="2"/>
  <c r="ZA9" i="2"/>
  <c r="ZB9" i="2"/>
  <c r="ZC9" i="2"/>
  <c r="ZD9" i="2"/>
  <c r="ZE9" i="2"/>
  <c r="ZF9" i="2"/>
  <c r="ZG9" i="2"/>
  <c r="ZH9" i="2"/>
  <c r="ZI9" i="2"/>
  <c r="ZJ9" i="2"/>
  <c r="ZK9" i="2"/>
  <c r="ZL9" i="2"/>
  <c r="ZM9" i="2"/>
  <c r="ZN9" i="2"/>
  <c r="ZO9" i="2"/>
  <c r="ZP9" i="2"/>
  <c r="ZQ9" i="2"/>
  <c r="ZR9" i="2"/>
  <c r="ZS9" i="2"/>
  <c r="ZT9" i="2"/>
  <c r="ZU9" i="2"/>
  <c r="ZV9" i="2"/>
  <c r="ZW9" i="2"/>
  <c r="ZX9" i="2"/>
  <c r="ZY9" i="2"/>
  <c r="ZZ9" i="2"/>
  <c r="AAA9" i="2"/>
  <c r="AAB9" i="2"/>
  <c r="AAC9" i="2"/>
  <c r="AAD9" i="2"/>
  <c r="AAE9" i="2"/>
  <c r="AAF9" i="2"/>
  <c r="AAG9" i="2"/>
  <c r="AAH9" i="2"/>
  <c r="AAI9" i="2"/>
  <c r="AAJ9" i="2"/>
  <c r="AAK9" i="2"/>
  <c r="AAL9" i="2"/>
  <c r="AAM9" i="2"/>
  <c r="AAN9" i="2"/>
  <c r="AAO9" i="2"/>
  <c r="AAP9" i="2"/>
  <c r="AAQ9" i="2"/>
  <c r="AAR9" i="2"/>
  <c r="AAS9" i="2"/>
  <c r="AAT9" i="2"/>
  <c r="AAU9" i="2"/>
  <c r="AAV9" i="2"/>
  <c r="AAW9" i="2"/>
  <c r="AAX9" i="2"/>
  <c r="AAY9" i="2"/>
  <c r="AAZ9" i="2"/>
  <c r="ABA9" i="2"/>
  <c r="ABB9" i="2"/>
  <c r="ABC9" i="2"/>
  <c r="ABD9" i="2"/>
  <c r="ABE9" i="2"/>
  <c r="ABF9" i="2"/>
  <c r="ABG9" i="2"/>
  <c r="ABH9" i="2"/>
  <c r="ABI9" i="2"/>
  <c r="ABJ9" i="2"/>
  <c r="ABK9" i="2"/>
  <c r="ABL9" i="2"/>
  <c r="ABM9" i="2"/>
  <c r="ABN9" i="2"/>
  <c r="ABO9" i="2"/>
  <c r="ABP9" i="2"/>
  <c r="ABQ9" i="2"/>
  <c r="ABR9" i="2"/>
  <c r="ABS9" i="2"/>
  <c r="ABT9" i="2"/>
  <c r="ABU9" i="2"/>
  <c r="ABV9" i="2"/>
  <c r="ABW9" i="2"/>
  <c r="ABX9" i="2"/>
  <c r="ABY9" i="2"/>
  <c r="ABZ9" i="2"/>
  <c r="ACA9" i="2"/>
  <c r="ACB9" i="2"/>
  <c r="ACC9" i="2"/>
  <c r="ACD9" i="2"/>
  <c r="ACE9" i="2"/>
  <c r="ACF9" i="2"/>
  <c r="ACG9" i="2"/>
  <c r="ACH9" i="2"/>
  <c r="ACI9" i="2"/>
  <c r="ACJ9" i="2"/>
  <c r="ACK9" i="2"/>
  <c r="ACL9" i="2"/>
  <c r="ACM9" i="2"/>
  <c r="ACN9" i="2"/>
  <c r="ACO9" i="2"/>
  <c r="ACP9" i="2"/>
  <c r="ACQ9" i="2"/>
  <c r="ACR9" i="2"/>
  <c r="ACS9" i="2"/>
  <c r="ACT9" i="2"/>
  <c r="ACU9" i="2"/>
  <c r="ACV9" i="2"/>
  <c r="ACW9" i="2"/>
  <c r="ACX9" i="2"/>
  <c r="ACY9" i="2"/>
  <c r="ACZ9" i="2"/>
  <c r="ADA9" i="2"/>
  <c r="ADB9" i="2"/>
  <c r="ADC9" i="2"/>
  <c r="ADD9" i="2"/>
  <c r="ADE9" i="2"/>
  <c r="ADF9" i="2"/>
  <c r="ADG9" i="2"/>
  <c r="ADH9" i="2"/>
  <c r="ADI9" i="2"/>
  <c r="ADJ9" i="2"/>
  <c r="ADK9" i="2"/>
  <c r="ADL9" i="2"/>
  <c r="ADM9" i="2"/>
  <c r="ADN9" i="2"/>
  <c r="ADO9" i="2"/>
  <c r="ADP9" i="2"/>
  <c r="ADQ9" i="2"/>
  <c r="ADR9" i="2"/>
  <c r="ADS9" i="2"/>
  <c r="ADT9" i="2"/>
  <c r="ADU9" i="2"/>
  <c r="ADV9" i="2"/>
  <c r="ADW9" i="2"/>
  <c r="ADX9" i="2"/>
  <c r="ADY9" i="2"/>
  <c r="ADZ9" i="2"/>
  <c r="AEA9" i="2"/>
  <c r="AEB9" i="2"/>
  <c r="AEC9" i="2"/>
  <c r="AED9" i="2"/>
  <c r="AEE9" i="2"/>
  <c r="AEF9" i="2"/>
  <c r="AEG9" i="2"/>
  <c r="AEH9" i="2"/>
  <c r="AEI9" i="2"/>
  <c r="AEJ9" i="2"/>
  <c r="AEK9" i="2"/>
  <c r="AEL9" i="2"/>
  <c r="AEM9" i="2"/>
  <c r="AEN9" i="2"/>
  <c r="AEO9" i="2"/>
  <c r="AEP9" i="2"/>
  <c r="AEQ9" i="2"/>
  <c r="AER9" i="2"/>
  <c r="AES9" i="2"/>
  <c r="AET9" i="2"/>
  <c r="AEU9" i="2"/>
  <c r="AEV9" i="2"/>
  <c r="AEW9" i="2"/>
  <c r="AEX9" i="2"/>
  <c r="AEY9" i="2"/>
  <c r="AEZ9" i="2"/>
  <c r="AFA9" i="2"/>
  <c r="AFB9" i="2"/>
  <c r="AFC9" i="2"/>
  <c r="AFD9" i="2"/>
  <c r="AFE9" i="2"/>
  <c r="AFF9" i="2"/>
  <c r="AFG9" i="2"/>
  <c r="AFH9" i="2"/>
  <c r="AFI9" i="2"/>
  <c r="AFJ9" i="2"/>
  <c r="AFK9" i="2"/>
  <c r="AFL9" i="2"/>
  <c r="AFM9" i="2"/>
  <c r="AFN9" i="2"/>
  <c r="AFO9" i="2"/>
  <c r="AFP9" i="2"/>
  <c r="AFQ9" i="2"/>
  <c r="AFR9" i="2"/>
  <c r="AFS9" i="2"/>
  <c r="AFT9" i="2"/>
  <c r="AFU9" i="2"/>
  <c r="AFV9" i="2"/>
  <c r="AFW9" i="2"/>
  <c r="AFX9" i="2"/>
  <c r="AFY9" i="2"/>
  <c r="AFZ9" i="2"/>
  <c r="AGA9" i="2"/>
  <c r="AGB9" i="2"/>
  <c r="AGC9" i="2"/>
  <c r="AGD9" i="2"/>
  <c r="AGE9" i="2"/>
  <c r="AGF9" i="2"/>
  <c r="AGG9" i="2"/>
  <c r="AGH9" i="2"/>
  <c r="AGI9" i="2"/>
  <c r="AGJ9" i="2"/>
  <c r="AGK9" i="2"/>
  <c r="AGL9" i="2"/>
  <c r="AGM9" i="2"/>
  <c r="AGN9" i="2"/>
  <c r="AGO9" i="2"/>
  <c r="AGP9" i="2"/>
  <c r="AGQ9" i="2"/>
  <c r="AGR9" i="2"/>
  <c r="AGS9" i="2"/>
  <c r="AGT9" i="2"/>
  <c r="AGU9" i="2"/>
  <c r="AGV9" i="2"/>
  <c r="AGW9" i="2"/>
  <c r="AGX9" i="2"/>
  <c r="AGY9" i="2"/>
  <c r="AGZ9" i="2"/>
  <c r="AHA9" i="2"/>
  <c r="AHB9" i="2"/>
  <c r="AHC9" i="2"/>
  <c r="AHD9" i="2"/>
  <c r="AHE9" i="2"/>
  <c r="AHF9" i="2"/>
  <c r="AHG9" i="2"/>
  <c r="AHH9" i="2"/>
  <c r="AHI9" i="2"/>
  <c r="AHJ9" i="2"/>
  <c r="AHK9" i="2"/>
  <c r="AHL9" i="2"/>
  <c r="AHM9" i="2"/>
  <c r="AHN9" i="2"/>
  <c r="AHO9" i="2"/>
  <c r="AHP9" i="2"/>
  <c r="AHQ9" i="2"/>
  <c r="AHR9" i="2"/>
  <c r="AHS9" i="2"/>
  <c r="AHT9" i="2"/>
  <c r="AHU9" i="2"/>
  <c r="AHV9" i="2"/>
  <c r="AHW9" i="2"/>
  <c r="AHX9" i="2"/>
  <c r="AHY9" i="2"/>
  <c r="AHZ9" i="2"/>
  <c r="AIA9" i="2"/>
  <c r="AIB9" i="2"/>
  <c r="AIC9" i="2"/>
  <c r="AID9" i="2"/>
  <c r="AIE9" i="2"/>
  <c r="AIF9" i="2"/>
  <c r="AIG9" i="2"/>
  <c r="AIH9" i="2"/>
  <c r="AII9" i="2"/>
  <c r="AIJ9" i="2"/>
  <c r="AIK9" i="2"/>
  <c r="AIL9" i="2"/>
  <c r="AIM9" i="2"/>
  <c r="AIN9" i="2"/>
  <c r="AIO9" i="2"/>
  <c r="AIP9" i="2"/>
  <c r="AIQ9" i="2"/>
  <c r="AIR9" i="2"/>
  <c r="AIS9" i="2"/>
  <c r="AIT9" i="2"/>
  <c r="AIU9" i="2"/>
  <c r="AIV9" i="2"/>
  <c r="AIW9" i="2"/>
  <c r="AIX9" i="2"/>
  <c r="AIY9" i="2"/>
  <c r="AIZ9" i="2"/>
  <c r="AJA9" i="2"/>
  <c r="AJB9" i="2"/>
  <c r="AJC9" i="2"/>
  <c r="AJD9" i="2"/>
  <c r="AJE9" i="2"/>
  <c r="AJF9" i="2"/>
  <c r="AJG9" i="2"/>
  <c r="AJH9" i="2"/>
  <c r="AJI9" i="2"/>
  <c r="AJJ9" i="2"/>
  <c r="AJK9" i="2"/>
  <c r="AJL9" i="2"/>
  <c r="AJM9" i="2"/>
  <c r="AJN9" i="2"/>
  <c r="AJO9" i="2"/>
  <c r="AJP9" i="2"/>
  <c r="AJQ9" i="2"/>
  <c r="AJR9" i="2"/>
  <c r="AJS9" i="2"/>
  <c r="AJT9" i="2"/>
  <c r="AJU9" i="2"/>
  <c r="AJV9" i="2"/>
  <c r="AJW9" i="2"/>
  <c r="AJX9" i="2"/>
  <c r="AJY9" i="2"/>
  <c r="AJZ9" i="2"/>
  <c r="AKA9" i="2"/>
  <c r="AKB9" i="2"/>
  <c r="AKC9" i="2"/>
  <c r="AKD9" i="2"/>
  <c r="AKE9" i="2"/>
  <c r="AKF9" i="2"/>
  <c r="AKG9" i="2"/>
  <c r="AKH9" i="2"/>
  <c r="AKI9" i="2"/>
  <c r="AKJ9" i="2"/>
  <c r="AKK9" i="2"/>
  <c r="AKL9" i="2"/>
  <c r="AKM9" i="2"/>
  <c r="AKN9" i="2"/>
  <c r="AKO9" i="2"/>
  <c r="AKP9" i="2"/>
  <c r="AKQ9" i="2"/>
  <c r="AKR9" i="2"/>
  <c r="AKS9" i="2"/>
  <c r="AKT9" i="2"/>
  <c r="AKU9" i="2"/>
  <c r="AKV9" i="2"/>
  <c r="AKW9" i="2"/>
  <c r="AKX9" i="2"/>
  <c r="AKY9" i="2"/>
  <c r="AKZ9" i="2"/>
  <c r="ALA9" i="2"/>
  <c r="ALB9" i="2"/>
  <c r="ALC9" i="2"/>
  <c r="ALD9" i="2"/>
  <c r="ALE9" i="2"/>
  <c r="ALF9" i="2"/>
  <c r="ALG9" i="2"/>
  <c r="ALH9" i="2"/>
  <c r="ALI9" i="2"/>
  <c r="ALJ9" i="2"/>
  <c r="ALK9" i="2"/>
  <c r="ALL9" i="2"/>
  <c r="A9" i="2"/>
  <c r="QM8" i="2"/>
  <c r="QN8" i="2"/>
  <c r="QO8" i="2"/>
  <c r="QP8" i="2"/>
  <c r="QQ8" i="2"/>
  <c r="QR8" i="2"/>
  <c r="QS8" i="2"/>
  <c r="QT8" i="2"/>
  <c r="QU8" i="2"/>
  <c r="QV8" i="2"/>
  <c r="QW8" i="2"/>
  <c r="QX8" i="2"/>
  <c r="QY8" i="2"/>
  <c r="QZ8" i="2"/>
  <c r="RA8" i="2"/>
  <c r="RB8" i="2"/>
  <c r="RC8" i="2"/>
  <c r="RD8" i="2"/>
  <c r="RE8" i="2"/>
  <c r="RF8" i="2"/>
  <c r="RG8" i="2"/>
  <c r="RH8" i="2"/>
  <c r="RI8" i="2"/>
  <c r="RJ8" i="2"/>
  <c r="RK8" i="2"/>
  <c r="RL8" i="2"/>
  <c r="RM8" i="2"/>
  <c r="RN8" i="2"/>
  <c r="RO8" i="2"/>
  <c r="RP8" i="2"/>
  <c r="RQ8" i="2"/>
  <c r="RR8" i="2"/>
  <c r="RS8" i="2"/>
  <c r="RT8" i="2"/>
  <c r="RU8" i="2"/>
  <c r="RV8" i="2"/>
  <c r="RW8" i="2"/>
  <c r="RX8" i="2"/>
  <c r="RY8" i="2"/>
  <c r="RZ8" i="2"/>
  <c r="SA8" i="2"/>
  <c r="SB8" i="2"/>
  <c r="SC8" i="2"/>
  <c r="SD8" i="2"/>
  <c r="SE8" i="2"/>
  <c r="SF8" i="2"/>
  <c r="SG8" i="2"/>
  <c r="SH8" i="2"/>
  <c r="SI8" i="2"/>
  <c r="SJ8" i="2"/>
  <c r="SK8" i="2"/>
  <c r="SL8" i="2"/>
  <c r="SM8" i="2"/>
  <c r="SN8" i="2"/>
  <c r="SO8" i="2"/>
  <c r="SP8" i="2"/>
  <c r="SQ8" i="2"/>
  <c r="SR8" i="2"/>
  <c r="SS8" i="2"/>
  <c r="ST8" i="2"/>
  <c r="SU8" i="2"/>
  <c r="SV8" i="2"/>
  <c r="SW8" i="2"/>
  <c r="SX8" i="2"/>
  <c r="SY8" i="2"/>
  <c r="SZ8" i="2"/>
  <c r="TA8" i="2"/>
  <c r="TB8" i="2"/>
  <c r="TC8" i="2"/>
  <c r="TD8" i="2"/>
  <c r="TE8" i="2"/>
  <c r="TF8" i="2"/>
  <c r="TG8" i="2"/>
  <c r="TH8" i="2"/>
  <c r="TI8" i="2"/>
  <c r="TJ8" i="2"/>
  <c r="TK8" i="2"/>
  <c r="TL8" i="2"/>
  <c r="TM8" i="2"/>
  <c r="TN8" i="2"/>
  <c r="TO8" i="2"/>
  <c r="TP8" i="2"/>
  <c r="TQ8" i="2"/>
  <c r="TR8" i="2"/>
  <c r="TS8" i="2"/>
  <c r="TT8" i="2"/>
  <c r="TU8" i="2"/>
  <c r="TV8" i="2"/>
  <c r="TW8" i="2"/>
  <c r="TX8" i="2"/>
  <c r="TY8" i="2"/>
  <c r="TZ8" i="2"/>
  <c r="UA8" i="2"/>
  <c r="UB8" i="2"/>
  <c r="UC8" i="2"/>
  <c r="UD8" i="2"/>
  <c r="UE8" i="2"/>
  <c r="UF8" i="2"/>
  <c r="UG8" i="2"/>
  <c r="UH8" i="2"/>
  <c r="UI8" i="2"/>
  <c r="UJ8" i="2"/>
  <c r="UK8" i="2"/>
  <c r="UL8" i="2"/>
  <c r="UM8" i="2"/>
  <c r="UN8" i="2"/>
  <c r="UO8" i="2"/>
  <c r="UP8" i="2"/>
  <c r="UQ8" i="2"/>
  <c r="UR8" i="2"/>
  <c r="US8" i="2"/>
  <c r="UT8" i="2"/>
  <c r="UU8" i="2"/>
  <c r="UV8" i="2"/>
  <c r="UW8" i="2"/>
  <c r="UX8" i="2"/>
  <c r="UY8" i="2"/>
  <c r="UZ8" i="2"/>
  <c r="VA8" i="2"/>
  <c r="VB8" i="2"/>
  <c r="VC8" i="2"/>
  <c r="VD8" i="2"/>
  <c r="VE8" i="2"/>
  <c r="VF8" i="2"/>
  <c r="VG8" i="2"/>
  <c r="VH8" i="2"/>
  <c r="VI8" i="2"/>
  <c r="VJ8" i="2"/>
  <c r="VK8" i="2"/>
  <c r="VL8" i="2"/>
  <c r="VM8" i="2"/>
  <c r="VN8" i="2"/>
  <c r="VO8" i="2"/>
  <c r="VP8" i="2"/>
  <c r="VQ8" i="2"/>
  <c r="VR8" i="2"/>
  <c r="VS8" i="2"/>
  <c r="VT8" i="2"/>
  <c r="VU8" i="2"/>
  <c r="VV8" i="2"/>
  <c r="VW8" i="2"/>
  <c r="VX8" i="2"/>
  <c r="VY8" i="2"/>
  <c r="VZ8" i="2"/>
  <c r="WA8" i="2"/>
  <c r="WB8" i="2"/>
  <c r="WC8" i="2"/>
  <c r="WD8" i="2"/>
  <c r="WE8" i="2"/>
  <c r="WF8" i="2"/>
  <c r="WG8" i="2"/>
  <c r="WH8" i="2"/>
  <c r="WI8" i="2"/>
  <c r="WJ8" i="2"/>
  <c r="WK8" i="2"/>
  <c r="WL8" i="2"/>
  <c r="WM8" i="2"/>
  <c r="WN8" i="2"/>
  <c r="WO8" i="2"/>
  <c r="WP8" i="2"/>
  <c r="WQ8" i="2"/>
  <c r="WR8" i="2"/>
  <c r="WS8" i="2"/>
  <c r="WT8" i="2"/>
  <c r="WU8" i="2"/>
  <c r="WV8" i="2"/>
  <c r="WW8" i="2"/>
  <c r="WX8" i="2"/>
  <c r="WY8" i="2"/>
  <c r="WZ8" i="2"/>
  <c r="XA8" i="2"/>
  <c r="XB8" i="2"/>
  <c r="XC8" i="2"/>
  <c r="XD8" i="2"/>
  <c r="XE8" i="2"/>
  <c r="XF8" i="2"/>
  <c r="XG8" i="2"/>
  <c r="XH8" i="2"/>
  <c r="XI8" i="2"/>
  <c r="XJ8" i="2"/>
  <c r="XK8" i="2"/>
  <c r="XL8" i="2"/>
  <c r="XM8" i="2"/>
  <c r="XN8" i="2"/>
  <c r="XO8" i="2"/>
  <c r="XP8" i="2"/>
  <c r="XQ8" i="2"/>
  <c r="XR8" i="2"/>
  <c r="XS8" i="2"/>
  <c r="XT8" i="2"/>
  <c r="XU8" i="2"/>
  <c r="XV8" i="2"/>
  <c r="XW8" i="2"/>
  <c r="XX8" i="2"/>
  <c r="XY8" i="2"/>
  <c r="XZ8" i="2"/>
  <c r="YA8" i="2"/>
  <c r="YB8" i="2"/>
  <c r="YC8" i="2"/>
  <c r="YD8" i="2"/>
  <c r="YE8" i="2"/>
  <c r="YF8" i="2"/>
  <c r="YG8" i="2"/>
  <c r="YH8" i="2"/>
  <c r="YI8" i="2"/>
  <c r="YJ8" i="2"/>
  <c r="YK8" i="2"/>
  <c r="YL8" i="2"/>
  <c r="YM8" i="2"/>
  <c r="YN8" i="2"/>
  <c r="YO8" i="2"/>
  <c r="YP8" i="2"/>
  <c r="YQ8" i="2"/>
  <c r="YR8" i="2"/>
  <c r="YS8" i="2"/>
  <c r="YT8" i="2"/>
  <c r="YU8" i="2"/>
  <c r="YV8" i="2"/>
  <c r="YW8" i="2"/>
  <c r="YX8" i="2"/>
  <c r="YY8" i="2"/>
  <c r="YZ8" i="2"/>
  <c r="ZA8" i="2"/>
  <c r="ZB8" i="2"/>
  <c r="ZC8" i="2"/>
  <c r="ZD8" i="2"/>
  <c r="ZE8" i="2"/>
  <c r="ZF8" i="2"/>
  <c r="ZG8" i="2"/>
  <c r="ZH8" i="2"/>
  <c r="ZI8" i="2"/>
  <c r="ZJ8" i="2"/>
  <c r="ZK8" i="2"/>
  <c r="ZL8" i="2"/>
  <c r="ZM8" i="2"/>
  <c r="ZN8" i="2"/>
  <c r="ZO8" i="2"/>
  <c r="ZP8" i="2"/>
  <c r="ZQ8" i="2"/>
  <c r="ZR8" i="2"/>
  <c r="ZS8" i="2"/>
  <c r="ZT8" i="2"/>
  <c r="ZU8" i="2"/>
  <c r="ZV8" i="2"/>
  <c r="ZW8" i="2"/>
  <c r="ZX8" i="2"/>
  <c r="ZY8" i="2"/>
  <c r="ZZ8" i="2"/>
  <c r="AAA8" i="2"/>
  <c r="AAB8" i="2"/>
  <c r="AAC8" i="2"/>
  <c r="AAD8" i="2"/>
  <c r="AAE8" i="2"/>
  <c r="AAF8" i="2"/>
  <c r="AAG8" i="2"/>
  <c r="AAH8" i="2"/>
  <c r="AAI8" i="2"/>
  <c r="AAJ8" i="2"/>
  <c r="AAK8" i="2"/>
  <c r="AAL8" i="2"/>
  <c r="AAM8" i="2"/>
  <c r="AAN8" i="2"/>
  <c r="AAO8" i="2"/>
  <c r="AAP8" i="2"/>
  <c r="AAQ8" i="2"/>
  <c r="AAR8" i="2"/>
  <c r="AAS8" i="2"/>
  <c r="AAT8" i="2"/>
  <c r="AAU8" i="2"/>
  <c r="AAV8" i="2"/>
  <c r="AAW8" i="2"/>
  <c r="AAX8" i="2"/>
  <c r="AAY8" i="2"/>
  <c r="AAZ8" i="2"/>
  <c r="ABA8" i="2"/>
  <c r="ABB8" i="2"/>
  <c r="ABC8" i="2"/>
  <c r="ABD8" i="2"/>
  <c r="ABE8" i="2"/>
  <c r="ABF8" i="2"/>
  <c r="ABG8" i="2"/>
  <c r="ABH8" i="2"/>
  <c r="ABI8" i="2"/>
  <c r="ABJ8" i="2"/>
  <c r="ABK8" i="2"/>
  <c r="ABL8" i="2"/>
  <c r="ABM8" i="2"/>
  <c r="ABN8" i="2"/>
  <c r="ABO8" i="2"/>
  <c r="ABP8" i="2"/>
  <c r="ABQ8" i="2"/>
  <c r="ABR8" i="2"/>
  <c r="ABS8" i="2"/>
  <c r="ABT8" i="2"/>
  <c r="ABU8" i="2"/>
  <c r="ABV8" i="2"/>
  <c r="ABW8" i="2"/>
  <c r="ABX8" i="2"/>
  <c r="ABY8" i="2"/>
  <c r="ABZ8" i="2"/>
  <c r="ACA8" i="2"/>
  <c r="ACB8" i="2"/>
  <c r="ACC8" i="2"/>
  <c r="ACD8" i="2"/>
  <c r="ACE8" i="2"/>
  <c r="ACF8" i="2"/>
  <c r="ACG8" i="2"/>
  <c r="ACH8" i="2"/>
  <c r="ACI8" i="2"/>
  <c r="ACJ8" i="2"/>
  <c r="ACK8" i="2"/>
  <c r="ACL8" i="2"/>
  <c r="ACM8" i="2"/>
  <c r="ACN8" i="2"/>
  <c r="ACO8" i="2"/>
  <c r="ACP8" i="2"/>
  <c r="ACQ8" i="2"/>
  <c r="ACR8" i="2"/>
  <c r="ACS8" i="2"/>
  <c r="ACT8" i="2"/>
  <c r="ACU8" i="2"/>
  <c r="ACV8" i="2"/>
  <c r="ACW8" i="2"/>
  <c r="ACX8" i="2"/>
  <c r="ACY8" i="2"/>
  <c r="ACZ8" i="2"/>
  <c r="ADA8" i="2"/>
  <c r="ADB8" i="2"/>
  <c r="ADC8" i="2"/>
  <c r="ADD8" i="2"/>
  <c r="ADE8" i="2"/>
  <c r="ADF8" i="2"/>
  <c r="ADG8" i="2"/>
  <c r="ADH8" i="2"/>
  <c r="ADI8" i="2"/>
  <c r="ADJ8" i="2"/>
  <c r="ADK8" i="2"/>
  <c r="ADL8" i="2"/>
  <c r="ADM8" i="2"/>
  <c r="ADN8" i="2"/>
  <c r="ADO8" i="2"/>
  <c r="ADP8" i="2"/>
  <c r="ADQ8" i="2"/>
  <c r="ADR8" i="2"/>
  <c r="ADS8" i="2"/>
  <c r="ADT8" i="2"/>
  <c r="ADU8" i="2"/>
  <c r="ADV8" i="2"/>
  <c r="ADW8" i="2"/>
  <c r="ADX8" i="2"/>
  <c r="ADY8" i="2"/>
  <c r="ADZ8" i="2"/>
  <c r="AEA8" i="2"/>
  <c r="AEB8" i="2"/>
  <c r="AEC8" i="2"/>
  <c r="AED8" i="2"/>
  <c r="AEE8" i="2"/>
  <c r="AEF8" i="2"/>
  <c r="AEG8" i="2"/>
  <c r="AEH8" i="2"/>
  <c r="AEI8" i="2"/>
  <c r="AEJ8" i="2"/>
  <c r="AEK8" i="2"/>
  <c r="AEL8" i="2"/>
  <c r="AEM8" i="2"/>
  <c r="AEN8" i="2"/>
  <c r="AEO8" i="2"/>
  <c r="AEP8" i="2"/>
  <c r="AEQ8" i="2"/>
  <c r="AER8" i="2"/>
  <c r="AES8" i="2"/>
  <c r="AET8" i="2"/>
  <c r="AEU8" i="2"/>
  <c r="AEV8" i="2"/>
  <c r="AEW8" i="2"/>
  <c r="AEX8" i="2"/>
  <c r="AEY8" i="2"/>
  <c r="AEZ8" i="2"/>
  <c r="AFA8" i="2"/>
  <c r="AFB8" i="2"/>
  <c r="AFC8" i="2"/>
  <c r="AFD8" i="2"/>
  <c r="AFE8" i="2"/>
  <c r="AFF8" i="2"/>
  <c r="AFG8" i="2"/>
  <c r="AFH8" i="2"/>
  <c r="AFI8" i="2"/>
  <c r="AFJ8" i="2"/>
  <c r="AFK8" i="2"/>
  <c r="AFL8" i="2"/>
  <c r="AFM8" i="2"/>
  <c r="AFN8" i="2"/>
  <c r="AFO8" i="2"/>
  <c r="AFP8" i="2"/>
  <c r="AFQ8" i="2"/>
  <c r="AFR8" i="2"/>
  <c r="AFS8" i="2"/>
  <c r="AFT8" i="2"/>
  <c r="AFU8" i="2"/>
  <c r="AFV8" i="2"/>
  <c r="AFW8" i="2"/>
  <c r="AFX8" i="2"/>
  <c r="AFY8" i="2"/>
  <c r="AFZ8" i="2"/>
  <c r="AGA8" i="2"/>
  <c r="AGB8" i="2"/>
  <c r="AGC8" i="2"/>
  <c r="AGD8" i="2"/>
  <c r="AGE8" i="2"/>
  <c r="AGF8" i="2"/>
  <c r="AGG8" i="2"/>
  <c r="AGH8" i="2"/>
  <c r="AGI8" i="2"/>
  <c r="AGJ8" i="2"/>
  <c r="AGK8" i="2"/>
  <c r="AGL8" i="2"/>
  <c r="AGM8" i="2"/>
  <c r="AGN8" i="2"/>
  <c r="AGO8" i="2"/>
  <c r="AGP8" i="2"/>
  <c r="AGQ8" i="2"/>
  <c r="AGR8" i="2"/>
  <c r="AGS8" i="2"/>
  <c r="AGT8" i="2"/>
  <c r="AGU8" i="2"/>
  <c r="AGV8" i="2"/>
  <c r="AGW8" i="2"/>
  <c r="AGX8" i="2"/>
  <c r="AGY8" i="2"/>
  <c r="AGZ8" i="2"/>
  <c r="AHA8" i="2"/>
  <c r="AHB8" i="2"/>
  <c r="AHC8" i="2"/>
  <c r="AHD8" i="2"/>
  <c r="AHE8" i="2"/>
  <c r="AHF8" i="2"/>
  <c r="AHG8" i="2"/>
  <c r="AHH8" i="2"/>
  <c r="AHI8" i="2"/>
  <c r="AHJ8" i="2"/>
  <c r="AHK8" i="2"/>
  <c r="AHL8" i="2"/>
  <c r="AHM8" i="2"/>
  <c r="AHN8" i="2"/>
  <c r="AHO8" i="2"/>
  <c r="AHP8" i="2"/>
  <c r="AHQ8" i="2"/>
  <c r="AHR8" i="2"/>
  <c r="AHS8" i="2"/>
  <c r="AHT8" i="2"/>
  <c r="AHU8" i="2"/>
  <c r="AHV8" i="2"/>
  <c r="AHW8" i="2"/>
  <c r="AHX8" i="2"/>
  <c r="AHY8" i="2"/>
  <c r="AHZ8" i="2"/>
  <c r="AIA8" i="2"/>
  <c r="AIB8" i="2"/>
  <c r="AIC8" i="2"/>
  <c r="AID8" i="2"/>
  <c r="AIE8" i="2"/>
  <c r="AIF8" i="2"/>
  <c r="AIG8" i="2"/>
  <c r="AIH8" i="2"/>
  <c r="AII8" i="2"/>
  <c r="AIJ8" i="2"/>
  <c r="AIK8" i="2"/>
  <c r="AIL8" i="2"/>
  <c r="AIM8" i="2"/>
  <c r="AIN8" i="2"/>
  <c r="AIO8" i="2"/>
  <c r="AIP8" i="2"/>
  <c r="AIQ8" i="2"/>
  <c r="AIR8" i="2"/>
  <c r="AIS8" i="2"/>
  <c r="AIT8" i="2"/>
  <c r="AIU8" i="2"/>
  <c r="AIV8" i="2"/>
  <c r="AIW8" i="2"/>
  <c r="AIX8" i="2"/>
  <c r="AIY8" i="2"/>
  <c r="AIZ8" i="2"/>
  <c r="AJA8" i="2"/>
  <c r="AJB8" i="2"/>
  <c r="AJC8" i="2"/>
  <c r="AJD8" i="2"/>
  <c r="AJE8" i="2"/>
  <c r="AJF8" i="2"/>
  <c r="AJG8" i="2"/>
  <c r="AJH8" i="2"/>
  <c r="AJI8" i="2"/>
  <c r="AJJ8" i="2"/>
  <c r="AJK8" i="2"/>
  <c r="AJL8" i="2"/>
  <c r="AJM8" i="2"/>
  <c r="AJN8" i="2"/>
  <c r="AJO8" i="2"/>
  <c r="AJP8" i="2"/>
  <c r="AJQ8" i="2"/>
  <c r="AJR8" i="2"/>
  <c r="AJS8" i="2"/>
  <c r="AJT8" i="2"/>
  <c r="AJU8" i="2"/>
  <c r="AJV8" i="2"/>
  <c r="AJW8" i="2"/>
  <c r="AJX8" i="2"/>
  <c r="AJY8" i="2"/>
  <c r="AJZ8" i="2"/>
  <c r="AKA8" i="2"/>
  <c r="AKB8" i="2"/>
  <c r="AKC8" i="2"/>
  <c r="AKD8" i="2"/>
  <c r="AKE8" i="2"/>
  <c r="AKF8" i="2"/>
  <c r="AKG8" i="2"/>
  <c r="AKH8" i="2"/>
  <c r="AKI8" i="2"/>
  <c r="AKJ8" i="2"/>
  <c r="AKK8" i="2"/>
  <c r="AKL8" i="2"/>
  <c r="AKM8" i="2"/>
  <c r="AKN8" i="2"/>
  <c r="AKO8" i="2"/>
  <c r="AKP8" i="2"/>
  <c r="AKQ8" i="2"/>
  <c r="AKR8" i="2"/>
  <c r="AKS8" i="2"/>
  <c r="AKT8" i="2"/>
  <c r="AKU8" i="2"/>
  <c r="AKV8" i="2"/>
  <c r="AKW8" i="2"/>
  <c r="AKX8" i="2"/>
  <c r="AKY8" i="2"/>
  <c r="AKZ8" i="2"/>
  <c r="ALA8" i="2"/>
  <c r="ALB8" i="2"/>
  <c r="ALC8" i="2"/>
  <c r="ALD8" i="2"/>
  <c r="ALE8" i="2"/>
  <c r="ALF8" i="2"/>
  <c r="ALG8" i="2"/>
  <c r="ALH8" i="2"/>
  <c r="ALI8" i="2"/>
  <c r="ALJ8" i="2"/>
  <c r="ALK8" i="2"/>
  <c r="ALL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LL8" i="2"/>
  <c r="LM8" i="2"/>
  <c r="LN8" i="2"/>
  <c r="LO8" i="2"/>
  <c r="LP8" i="2"/>
  <c r="LQ8" i="2"/>
  <c r="LR8" i="2"/>
  <c r="LS8" i="2"/>
  <c r="LT8" i="2"/>
  <c r="LU8" i="2"/>
  <c r="LV8" i="2"/>
  <c r="LW8" i="2"/>
  <c r="LX8" i="2"/>
  <c r="LY8" i="2"/>
  <c r="LZ8" i="2"/>
  <c r="MA8" i="2"/>
  <c r="MB8" i="2"/>
  <c r="MC8" i="2"/>
  <c r="MD8" i="2"/>
  <c r="ME8" i="2"/>
  <c r="MF8" i="2"/>
  <c r="MG8" i="2"/>
  <c r="MH8" i="2"/>
  <c r="MI8" i="2"/>
  <c r="MJ8" i="2"/>
  <c r="MK8" i="2"/>
  <c r="ML8" i="2"/>
  <c r="MM8" i="2"/>
  <c r="MN8" i="2"/>
  <c r="MO8" i="2"/>
  <c r="MP8" i="2"/>
  <c r="MQ8" i="2"/>
  <c r="MR8" i="2"/>
  <c r="MS8" i="2"/>
  <c r="MT8" i="2"/>
  <c r="MU8" i="2"/>
  <c r="MV8" i="2"/>
  <c r="MW8" i="2"/>
  <c r="MX8" i="2"/>
  <c r="MY8" i="2"/>
  <c r="MZ8" i="2"/>
  <c r="NA8" i="2"/>
  <c r="NB8" i="2"/>
  <c r="NC8" i="2"/>
  <c r="ND8" i="2"/>
  <c r="NE8" i="2"/>
  <c r="NF8" i="2"/>
  <c r="NG8" i="2"/>
  <c r="NH8" i="2"/>
  <c r="NI8" i="2"/>
  <c r="NJ8" i="2"/>
  <c r="NK8" i="2"/>
  <c r="NL8" i="2"/>
  <c r="NM8" i="2"/>
  <c r="NN8" i="2"/>
  <c r="NO8" i="2"/>
  <c r="NP8" i="2"/>
  <c r="NQ8" i="2"/>
  <c r="NR8" i="2"/>
  <c r="NS8" i="2"/>
  <c r="NT8" i="2"/>
  <c r="NU8" i="2"/>
  <c r="NV8" i="2"/>
  <c r="NW8" i="2"/>
  <c r="NX8" i="2"/>
  <c r="NY8" i="2"/>
  <c r="NZ8" i="2"/>
  <c r="OA8" i="2"/>
  <c r="OB8" i="2"/>
  <c r="OC8" i="2"/>
  <c r="OD8" i="2"/>
  <c r="OE8" i="2"/>
  <c r="OF8" i="2"/>
  <c r="OG8" i="2"/>
  <c r="OH8" i="2"/>
  <c r="OI8" i="2"/>
  <c r="OJ8" i="2"/>
  <c r="OK8" i="2"/>
  <c r="OL8" i="2"/>
  <c r="OM8" i="2"/>
  <c r="ON8" i="2"/>
  <c r="OO8" i="2"/>
  <c r="OP8" i="2"/>
  <c r="OQ8" i="2"/>
  <c r="OR8" i="2"/>
  <c r="OS8" i="2"/>
  <c r="OT8" i="2"/>
  <c r="OU8" i="2"/>
  <c r="OV8" i="2"/>
  <c r="OW8" i="2"/>
  <c r="OX8" i="2"/>
  <c r="OY8" i="2"/>
  <c r="OZ8" i="2"/>
  <c r="PA8" i="2"/>
  <c r="PB8" i="2"/>
  <c r="PC8" i="2"/>
  <c r="PD8" i="2"/>
  <c r="PE8" i="2"/>
  <c r="PF8" i="2"/>
  <c r="PG8" i="2"/>
  <c r="PH8" i="2"/>
  <c r="PI8" i="2"/>
  <c r="PJ8" i="2"/>
  <c r="PK8" i="2"/>
  <c r="PL8" i="2"/>
  <c r="PM8" i="2"/>
  <c r="PN8" i="2"/>
  <c r="PO8" i="2"/>
  <c r="PP8" i="2"/>
  <c r="PQ8" i="2"/>
  <c r="PR8" i="2"/>
  <c r="PS8" i="2"/>
  <c r="PT8" i="2"/>
  <c r="PU8" i="2"/>
  <c r="PV8" i="2"/>
  <c r="PW8" i="2"/>
  <c r="PX8" i="2"/>
  <c r="PY8" i="2"/>
  <c r="PZ8" i="2"/>
  <c r="QA8" i="2"/>
  <c r="QB8" i="2"/>
  <c r="QC8" i="2"/>
  <c r="QD8" i="2"/>
  <c r="QE8" i="2"/>
  <c r="QF8" i="2"/>
  <c r="QG8" i="2"/>
  <c r="QH8" i="2"/>
  <c r="QI8" i="2"/>
  <c r="QJ8" i="2"/>
  <c r="QK8" i="2"/>
  <c r="QL8" i="2"/>
  <c r="A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3C64B-095C-491E-A145-A6271907BB77}" keepAlive="1" name="Query - pichMovement" description="Connection to the 'pichMovement' query in the workbook." type="5" refreshedVersion="8" background="1" saveData="1">
    <dbPr connection="Provider=Microsoft.Mashup.OleDb.1;Data Source=$Workbook$;Location=pichMovement;Extended Properties=&quot;&quot;" command="SELECT * FROM [pichMovement]"/>
  </connection>
  <connection id="2" xr16:uid="{C46658A6-D534-4E90-9D4D-8B5F23AC793E}" keepAlive="1" name="Query - pichMovement (2)" description="Connection to the 'pichMovement (2)' query in the workbook." type="5" refreshedVersion="0" background="1">
    <dbPr connection="Provider=Microsoft.Mashup.OleDb.1;Data Source=$Workbook$;Location=&quot;pichMovement (2)&quot;;Extended Properties=&quot;&quot;" command="SELECT * FROM [pichMovement (2)]"/>
  </connection>
  <connection id="3" xr16:uid="{E1F1703E-7DC9-450F-8BD0-9E6BF7ED79F0}" keepAlive="1" name="Query - pichMovement (3)" description="Connection to the 'pichMovement (3)' query in the workbook." type="5" refreshedVersion="8" background="1" saveData="1">
    <dbPr connection="Provider=Microsoft.Mashup.OleDb.1;Data Source=$Workbook$;Location=&quot;pichMovement (3)&quot;;Extended Properties=&quot;&quot;" command="SELECT * FROM [pichMovement (3)]"/>
  </connection>
  <connection id="4" xr16:uid="{4FC29458-3905-43E7-9F20-3DDB54607798}" keepAlive="1" name="Query - pitchMovement" description="Connection to the 'pitchMovement' query in the workbook." type="5" refreshedVersion="8" background="1" saveData="1">
    <dbPr connection="Provider=Microsoft.Mashup.OleDb.1;Data Source=$Workbook$;Location=pitchMovement;Extended Properties=&quot;&quot;" command="SELECT * FROM [pitchMovement]"/>
  </connection>
  <connection id="5" xr16:uid="{D3F7D04E-985B-4E71-9EB3-71D690882D2D}" keepAlive="1" name="Query - pitchMovement2" description="Connection to the 'pitchMovement2' query in the workbook." type="5" refreshedVersion="8" background="1" saveData="1">
    <dbPr connection="Provider=Microsoft.Mashup.OleDb.1;Data Source=$Workbook$;Location=pitchMovement2;Extended Properties=&quot;&quot;" command="SELECT * FROM [pitchMovement2]"/>
  </connection>
  <connection id="6" xr16:uid="{D11B7CCC-2E23-41E3-B7D4-6D9258AE908D}" keepAlive="1" name="Query - rollMovement" description="Connection to the 'rollMovement' query in the workbook." type="5" refreshedVersion="8" background="1" saveData="1">
    <dbPr connection="Provider=Microsoft.Mashup.OleDb.1;Data Source=$Workbook$;Location=rollMovement;Extended Properties=&quot;&quot;" command="SELECT * FROM [rollMovement]"/>
  </connection>
  <connection id="7" xr16:uid="{964D3DAC-3BD6-4F5A-B5C6-090D6FBFCE5B}" keepAlive="1" name="Query - rollMovement (2)" description="Connection to the 'rollMovement (2)' query in the workbook." type="5" refreshedVersion="8" background="1" saveData="1">
    <dbPr connection="Provider=Microsoft.Mashup.OleDb.1;Data Source=$Workbook$;Location=&quot;rollMovement (2)&quot;;Extended Properties=&quot;&quot;" command="SELECT * FROM [rollMovement (2)]"/>
  </connection>
  <connection id="8" xr16:uid="{5D9E9663-8FA9-4225-A486-3B3947929C4F}" keepAlive="1" name="Query - rollMovement2" description="Connection to the 'rollMovement2' query in the workbook." type="5" refreshedVersion="8" background="1" saveData="1">
    <dbPr connection="Provider=Microsoft.Mashup.OleDb.1;Data Source=$Workbook$;Location=rollMovement2;Extended Properties=&quot;&quot;" command="SELECT * FROM [rollMovement2]"/>
  </connection>
  <connection id="9" xr16:uid="{93A7DA16-756C-47AF-A978-39A78695BA08}" keepAlive="1" name="Query - yawMovement" description="Connection to the 'yawMovement' query in the workbook." type="5" refreshedVersion="8" background="1" saveData="1">
    <dbPr connection="Provider=Microsoft.Mashup.OleDb.1;Data Source=$Workbook$;Location=yawMovement;Extended Properties=&quot;&quot;" command="SELECT * FROM [yawMovement]"/>
  </connection>
</connections>
</file>

<file path=xl/sharedStrings.xml><?xml version="1.0" encoding="utf-8"?>
<sst xmlns="http://schemas.openxmlformats.org/spreadsheetml/2006/main" count="11961" uniqueCount="3464">
  <si>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</si>
  <si>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</si>
  <si>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</si>
  <si>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</si>
  <si>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</si>
  <si>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</si>
  <si>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</si>
  <si>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</si>
  <si>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</si>
  <si>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</si>
  <si>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</si>
  <si>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</si>
  <si>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</si>
  <si>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</si>
  <si>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</si>
  <si>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</si>
  <si>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</si>
  <si>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</si>
  <si>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</si>
  <si>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</si>
  <si>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</si>
  <si>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</si>
  <si>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</si>
  <si>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</si>
  <si>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</si>
  <si>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</si>
  <si>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</si>
  <si>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</si>
  <si>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</si>
  <si>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</si>
  <si>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</si>
  <si>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</si>
  <si>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</si>
  <si>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</si>
  <si>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</si>
  <si>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</si>
  <si>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</si>
  <si>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</si>
  <si>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</si>
  <si>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</si>
  <si>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</si>
  <si>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</si>
  <si>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</si>
  <si>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</si>
  <si>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</si>
  <si>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</si>
  <si>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</si>
  <si>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</si>
  <si>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</si>
  <si>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</si>
  <si>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</si>
  <si>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</si>
  <si>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</si>
  <si>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</si>
  <si>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</si>
  <si>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</si>
  <si>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</si>
  <si>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</si>
  <si>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</si>
  <si>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</si>
  <si>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</si>
  <si>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</si>
  <si>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</si>
  <si>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</si>
  <si>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</si>
  <si>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</si>
  <si>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</si>
  <si>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</si>
  <si>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</si>
  <si>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</si>
  <si>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</si>
  <si>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</si>
  <si>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</si>
  <si>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</si>
  <si>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</si>
  <si>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</si>
  <si>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</si>
  <si>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</si>
  <si>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</si>
  <si>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</si>
  <si>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</si>
  <si>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</si>
  <si>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</si>
  <si>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</si>
  <si>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</si>
  <si>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</si>
  <si>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</si>
  <si>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</si>
  <si>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</si>
  <si>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</si>
  <si>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</si>
  <si>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</si>
  <si>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</si>
  <si>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</si>
  <si>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</si>
  <si>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</si>
  <si>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</si>
  <si>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</si>
  <si>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</si>
  <si>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</si>
  <si>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</si>
  <si>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</si>
  <si>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</si>
  <si>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</si>
  <si>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</si>
  <si>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</si>
  <si>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</si>
  <si>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</si>
  <si>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</si>
  <si>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</si>
  <si>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</si>
  <si>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</si>
  <si>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</si>
  <si>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</si>
  <si>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</si>
  <si>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</si>
  <si>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</si>
  <si>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</si>
  <si>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</si>
  <si>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</si>
  <si>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</si>
  <si>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</si>
  <si>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</si>
  <si>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</si>
  <si>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</si>
  <si>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</si>
  <si>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</si>
  <si>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</si>
  <si>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</si>
  <si>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</si>
  <si>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</si>
  <si>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</si>
  <si>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</si>
  <si>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</si>
  <si>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</si>
  <si>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</si>
  <si>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</si>
  <si>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</si>
  <si>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</si>
  <si>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</si>
  <si>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</si>
  <si>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</si>
  <si>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</si>
  <si>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</si>
  <si>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</si>
  <si>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</si>
  <si>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</si>
  <si>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</si>
  <si>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</si>
  <si>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</si>
  <si>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</si>
  <si>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</si>
  <si>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</si>
  <si>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</si>
  <si>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</si>
  <si>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</si>
  <si>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</si>
  <si>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</si>
  <si>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</si>
  <si>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</si>
  <si>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</si>
  <si>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</si>
  <si>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</si>
  <si>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</si>
  <si>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</si>
  <si>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</si>
  <si>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</si>
  <si>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</si>
  <si>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</si>
  <si>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</si>
  <si>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</si>
  <si>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</si>
  <si>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</si>
  <si>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</si>
  <si>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</si>
  <si>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</si>
  <si>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</si>
  <si>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</si>
  <si>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</si>
  <si>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</si>
  <si>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</si>
  <si>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</si>
  <si>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</si>
  <si>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</si>
  <si>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</si>
  <si>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</si>
  <si>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</si>
  <si>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</si>
  <si>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</si>
  <si>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</si>
  <si>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</si>
  <si>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</si>
  <si>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</si>
  <si>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</si>
  <si>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</si>
  <si>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</si>
  <si>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</si>
  <si>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</si>
  <si>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</si>
  <si>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</si>
  <si>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</si>
  <si>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</si>
  <si>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</si>
  <si>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</si>
  <si>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</si>
  <si>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</si>
  <si>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</si>
  <si>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</si>
  <si>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</si>
  <si>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</si>
  <si>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</si>
  <si>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</si>
  <si>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</si>
  <si>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</si>
  <si>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</si>
  <si>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</si>
  <si>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</si>
  <si>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</si>
  <si>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</si>
  <si>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</si>
  <si>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</si>
  <si>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</si>
  <si>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</si>
  <si>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</si>
  <si>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</si>
  <si>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</si>
  <si>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</si>
  <si>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</si>
  <si>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</si>
  <si>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</si>
  <si>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</si>
  <si>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</si>
  <si>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</si>
  <si>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</si>
  <si>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</si>
  <si>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</si>
  <si>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</si>
  <si>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</si>
  <si>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</si>
  <si>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</si>
  <si>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</si>
  <si>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</si>
  <si>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</si>
  <si>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</si>
  <si>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</si>
  <si>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</si>
  <si>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</si>
  <si>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</si>
  <si>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</si>
  <si>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</si>
  <si>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</si>
  <si>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</si>
  <si>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</si>
  <si>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</si>
  <si>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</si>
  <si>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</si>
  <si>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</si>
  <si>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</si>
  <si>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</si>
  <si>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</si>
  <si>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</si>
  <si>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</si>
  <si>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</si>
  <si>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</si>
  <si>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</si>
  <si>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</si>
  <si>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</si>
  <si>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</si>
  <si>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</si>
  <si>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</si>
  <si>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</si>
  <si>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</si>
  <si>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</si>
  <si>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</si>
  <si>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</si>
  <si>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</si>
  <si>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</si>
  <si>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</si>
  <si>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</si>
  <si>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</si>
  <si>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</si>
  <si>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</si>
  <si>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</si>
  <si>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</si>
  <si>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</si>
  <si>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</si>
  <si>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</si>
  <si>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</si>
  <si>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</si>
  <si>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</si>
  <si>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</si>
  <si>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</si>
  <si>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</si>
  <si>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</si>
  <si>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</si>
  <si>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</si>
  <si>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</si>
  <si>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</si>
  <si>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</si>
  <si>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</si>
  <si>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</si>
  <si>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</si>
  <si>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</si>
  <si>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</si>
  <si>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</si>
  <si>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</si>
  <si>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</si>
  <si>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</si>
  <si>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</si>
  <si>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</si>
  <si>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</si>
  <si>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</si>
  <si>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</si>
  <si>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</si>
  <si>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</si>
  <si>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</si>
  <si>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</si>
  <si>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</si>
  <si>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</si>
  <si>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</si>
  <si>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</si>
  <si>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</si>
  <si>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</si>
  <si>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</si>
  <si>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</si>
  <si>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</si>
  <si>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</si>
  <si>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</si>
  <si>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</si>
  <si>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</si>
  <si>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</si>
  <si>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</si>
  <si>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</si>
  <si>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</si>
  <si>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</si>
  <si>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</si>
  <si>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</si>
  <si>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</si>
  <si>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</si>
  <si>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</si>
  <si>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</si>
  <si>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</si>
  <si>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</si>
  <si>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</si>
  <si>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</si>
  <si>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</si>
  <si>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</si>
  <si>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</si>
  <si>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</si>
  <si>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</si>
  <si>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</si>
  <si>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</si>
  <si>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</si>
  <si>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</si>
  <si>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</si>
  <si>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</si>
  <si>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</si>
  <si>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</si>
  <si>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</si>
  <si>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</si>
  <si>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</si>
  <si>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</si>
  <si>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</si>
  <si>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</si>
  <si>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</si>
  <si>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</si>
  <si>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</si>
  <si>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</si>
  <si>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</si>
  <si>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</si>
  <si>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</si>
  <si>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</si>
  <si>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</si>
  <si>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</si>
  <si>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</si>
  <si>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</si>
  <si>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</si>
  <si>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</si>
  <si>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</si>
  <si>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</si>
  <si>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</si>
  <si>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</si>
  <si>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</si>
  <si>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</si>
  <si>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</si>
  <si>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</si>
  <si>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</si>
  <si>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</si>
  <si>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</si>
  <si>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</si>
  <si>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</si>
  <si>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</si>
  <si>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</si>
  <si>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</si>
  <si>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</si>
  <si>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</si>
  <si>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</si>
  <si>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</si>
  <si>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</si>
  <si>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</si>
  <si>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</si>
  <si>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</si>
  <si>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</si>
  <si>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</si>
  <si>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</si>
  <si>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</si>
  <si>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</si>
  <si>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</si>
  <si>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</si>
  <si>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</si>
  <si>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</si>
  <si>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</si>
  <si>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</si>
  <si>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</si>
  <si>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</si>
  <si>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</si>
  <si>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</si>
  <si>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</si>
  <si>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</si>
  <si>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</si>
  <si>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</si>
  <si>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</si>
  <si>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</si>
  <si>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</si>
  <si>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</si>
  <si>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</si>
  <si>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</si>
  <si>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</si>
  <si>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</si>
  <si>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</si>
  <si>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</si>
  <si>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</si>
  <si>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</si>
  <si>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</si>
  <si>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</si>
  <si>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</si>
  <si>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</si>
  <si>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</si>
  <si>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</si>
  <si>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</si>
  <si>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</si>
  <si>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</si>
  <si>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</si>
  <si>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</si>
  <si>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</si>
  <si>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</si>
  <si>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</si>
  <si>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</si>
  <si>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</si>
  <si>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</si>
  <si>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</si>
  <si>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</si>
  <si>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</si>
  <si>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</si>
  <si>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</si>
  <si>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</si>
  <si>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</si>
  <si>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</si>
  <si>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</si>
  <si>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</si>
  <si>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</si>
  <si>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</si>
  <si>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</si>
  <si>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</si>
  <si>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</si>
  <si>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</si>
  <si>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</si>
  <si>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</si>
  <si>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</si>
  <si>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</si>
  <si>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</si>
  <si>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</si>
  <si>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</si>
  <si>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</si>
  <si>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</si>
  <si>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</si>
  <si>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</si>
  <si>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</si>
  <si>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</si>
  <si>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</si>
  <si>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</si>
  <si>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</si>
  <si>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</si>
  <si>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</si>
  <si>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</si>
  <si>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</si>
  <si>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</si>
  <si>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</si>
  <si>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</si>
  <si>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</si>
  <si>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</si>
  <si>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</si>
  <si>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</si>
  <si>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</si>
  <si>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</si>
  <si>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</si>
  <si>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</si>
  <si>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</si>
  <si>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</si>
  <si>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</si>
  <si>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</si>
  <si>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</si>
  <si>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</si>
  <si>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</si>
  <si>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</si>
  <si>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</si>
  <si>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</si>
  <si>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</si>
  <si>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</si>
  <si>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</si>
  <si>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</si>
  <si>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</si>
  <si>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</si>
  <si>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</si>
  <si>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</si>
  <si>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</si>
  <si>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</si>
  <si>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</si>
  <si>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</si>
  <si>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</si>
  <si>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</si>
  <si>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</si>
  <si>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</si>
  <si>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</si>
  <si>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</si>
  <si>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</si>
  <si>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</si>
  <si>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</si>
  <si>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</si>
  <si>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</si>
  <si>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</si>
  <si>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</si>
  <si>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</si>
  <si>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</si>
  <si>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</si>
  <si>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</si>
  <si>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</si>
  <si>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</si>
  <si>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</si>
  <si>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</si>
  <si>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</si>
  <si>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</si>
  <si>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</si>
  <si>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</si>
  <si>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</si>
  <si>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</si>
  <si>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</si>
  <si>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</si>
  <si>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</si>
  <si>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</si>
  <si>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</si>
  <si>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</si>
  <si>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</si>
  <si>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</si>
  <si>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</si>
  <si>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</si>
  <si>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</si>
  <si>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</si>
  <si>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</si>
  <si>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</si>
  <si>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</si>
  <si>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</si>
  <si>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</si>
  <si>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</si>
  <si>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</si>
  <si>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</si>
  <si>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</si>
  <si>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</si>
  <si>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</si>
  <si>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</si>
  <si>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</si>
  <si>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</si>
  <si>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</si>
  <si>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</si>
  <si>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</si>
  <si>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</si>
  <si>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</si>
  <si>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</si>
  <si>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</si>
  <si>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</si>
  <si>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</si>
  <si>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</si>
  <si>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</si>
  <si>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</si>
  <si>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</si>
  <si>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</si>
  <si>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</si>
  <si>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</si>
  <si>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</si>
  <si>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</si>
  <si>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</si>
  <si>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</si>
  <si>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</si>
  <si>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</si>
  <si>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</si>
  <si>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</si>
  <si>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</si>
  <si>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</si>
  <si>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</si>
  <si>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</si>
  <si>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</si>
  <si>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</si>
  <si>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</si>
  <si>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</si>
  <si>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</si>
  <si>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</si>
  <si>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</si>
  <si>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</si>
  <si>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</si>
  <si>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</si>
  <si>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</si>
  <si>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</si>
  <si>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</si>
  <si>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</si>
  <si>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</si>
  <si>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</si>
  <si>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</si>
  <si>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</si>
  <si>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</si>
  <si>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</si>
  <si>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</si>
  <si>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</si>
  <si>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</si>
  <si>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</si>
  <si>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</si>
  <si>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</si>
  <si>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</si>
  <si>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</si>
  <si>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</si>
  <si>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</si>
  <si>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</si>
  <si>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</si>
  <si>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</si>
  <si>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</si>
  <si>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</si>
  <si>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</si>
  <si>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</si>
  <si>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</si>
  <si>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</si>
  <si>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</si>
  <si>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</si>
  <si>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</si>
  <si>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</si>
  <si>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</si>
  <si>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</si>
  <si>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</si>
  <si>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</si>
  <si>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</si>
  <si>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</si>
  <si>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</si>
  <si>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</si>
  <si>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</si>
  <si>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</si>
  <si>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</si>
  <si>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</si>
  <si>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</si>
  <si>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</si>
  <si>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</si>
  <si>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</si>
  <si>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</si>
  <si>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</si>
  <si>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</si>
  <si>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</si>
  <si>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</si>
  <si>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</si>
  <si>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</si>
  <si>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</si>
  <si>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</si>
  <si>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</si>
  <si>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</si>
  <si>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</si>
  <si>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</si>
  <si>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</si>
  <si>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</si>
  <si>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</si>
  <si>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</si>
  <si>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</si>
  <si>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</si>
  <si>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</si>
  <si>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</si>
  <si>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</si>
  <si>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</si>
  <si>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</si>
  <si>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</si>
  <si>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</si>
  <si>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</si>
  <si>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</si>
  <si>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</si>
  <si>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</si>
  <si>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</si>
  <si>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</si>
  <si>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</si>
  <si>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</si>
  <si>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</si>
  <si>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</si>
  <si>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</si>
  <si>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</si>
  <si>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</si>
  <si>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</si>
  <si>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</si>
  <si>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</si>
  <si>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</si>
  <si>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</si>
  <si>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</si>
  <si>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</si>
  <si>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</si>
  <si>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</si>
  <si>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</si>
  <si>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</si>
  <si>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</si>
  <si>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</si>
  <si>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</si>
  <si>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</si>
  <si>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</si>
  <si>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</si>
  <si>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</si>
  <si>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</si>
  <si>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</si>
  <si>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</si>
  <si>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</si>
  <si>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</si>
  <si>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</si>
  <si>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</si>
  <si>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</si>
  <si>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</si>
  <si>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</si>
  <si>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</si>
  <si>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</si>
  <si>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</si>
  <si>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</si>
  <si>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</si>
  <si>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</si>
  <si>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</si>
  <si>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</si>
  <si>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</si>
  <si>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</si>
  <si>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</si>
  <si>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</si>
  <si>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</si>
  <si>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</si>
  <si>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</si>
  <si>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</si>
  <si>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</si>
  <si>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</si>
  <si>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</si>
  <si>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</si>
  <si>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</si>
  <si>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</si>
  <si>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</si>
  <si>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</si>
  <si>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</si>
  <si>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</si>
  <si>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</si>
  <si>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</si>
  <si>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</si>
  <si>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</si>
  <si>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</si>
  <si>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</si>
  <si>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</si>
  <si>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</si>
  <si>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</si>
  <si>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</si>
  <si>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</si>
  <si>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</si>
  <si>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</si>
  <si>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</si>
  <si>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</si>
  <si>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</si>
  <si>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</si>
  <si>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</si>
  <si>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</si>
  <si>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</si>
  <si>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</si>
  <si>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</si>
  <si>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</si>
  <si>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</si>
  <si>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</si>
  <si>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</si>
  <si>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</si>
  <si>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</si>
  <si>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</si>
  <si>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</si>
  <si>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</si>
  <si>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</si>
  <si>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</si>
  <si>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</si>
  <si>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</si>
  <si>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</si>
  <si>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</si>
  <si>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</si>
  <si>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</si>
  <si>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</si>
  <si>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</si>
  <si>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</si>
  <si>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</si>
  <si>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</si>
  <si>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</si>
  <si>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</si>
  <si>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</si>
  <si>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</si>
  <si>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</si>
  <si>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</si>
  <si>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</si>
  <si>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</si>
  <si>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</si>
  <si>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</si>
  <si>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</si>
  <si>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</si>
  <si>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</si>
  <si>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</si>
  <si>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</si>
  <si>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</si>
  <si>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</si>
  <si>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</si>
  <si>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</si>
  <si>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</si>
  <si>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</si>
  <si>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</si>
  <si>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</si>
  <si>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</si>
  <si>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</si>
  <si>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</si>
  <si>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</si>
  <si>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</si>
  <si>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</si>
  <si>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</si>
  <si>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</si>
  <si>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</si>
  <si>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</si>
  <si>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</si>
  <si>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</si>
  <si>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</si>
  <si>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</si>
  <si>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</si>
  <si>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</si>
  <si>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</si>
  <si>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</si>
  <si>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</si>
  <si>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</si>
  <si>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</si>
  <si>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</si>
  <si>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</si>
  <si>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</si>
  <si>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</si>
  <si>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</si>
  <si>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</si>
  <si>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</si>
  <si>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</si>
  <si>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</si>
  <si>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</si>
  <si>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</si>
  <si>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</si>
  <si>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</si>
  <si>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</si>
  <si>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</si>
  <si>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</si>
  <si>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</si>
  <si>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</si>
  <si>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</si>
  <si>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</si>
  <si>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</si>
  <si>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</si>
  <si>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</si>
  <si>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</si>
  <si>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</si>
  <si>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</si>
  <si>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</si>
  <si>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</si>
  <si>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</si>
  <si>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</si>
  <si>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</si>
  <si>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</si>
  <si>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</si>
  <si>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</si>
  <si>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</si>
  <si>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</si>
  <si>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</si>
  <si>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</si>
  <si>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</si>
  <si>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</si>
  <si>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</si>
  <si>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</si>
  <si>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</si>
  <si>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</si>
  <si>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</si>
  <si>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</si>
  <si>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</si>
  <si>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</si>
  <si>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</si>
  <si>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</si>
  <si>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</si>
  <si>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</si>
  <si>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</si>
  <si>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</si>
  <si>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</si>
  <si>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</si>
  <si>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</si>
  <si>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</si>
  <si>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</si>
  <si>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</si>
  <si>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</si>
  <si>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</si>
  <si>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</si>
  <si>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</si>
  <si>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</si>
  <si>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</si>
  <si>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</si>
  <si>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</si>
  <si>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</si>
  <si>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</si>
  <si>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</si>
  <si>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</si>
  <si>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</si>
  <si>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</si>
  <si>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</si>
  <si>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</si>
  <si>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</si>
  <si>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</si>
  <si>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</si>
  <si>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</si>
  <si>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</si>
  <si>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</si>
  <si>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</si>
  <si>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</si>
  <si>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</si>
  <si>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</si>
  <si>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</si>
  <si>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</si>
  <si>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</si>
  <si>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</si>
  <si>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</si>
  <si>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</si>
  <si>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</si>
  <si>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</si>
  <si>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</si>
  <si>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</si>
  <si>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</si>
  <si>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</si>
  <si>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</si>
  <si>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</si>
  <si>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</si>
  <si>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</si>
  <si>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</si>
  <si>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</si>
  <si>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</si>
  <si>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</si>
  <si>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</si>
  <si>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</si>
  <si>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</si>
  <si>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</si>
  <si>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</si>
  <si>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</si>
  <si>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</si>
  <si>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</si>
  <si>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</si>
  <si>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</si>
  <si>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</si>
  <si>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</si>
  <si>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</si>
  <si>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</si>
  <si>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</si>
  <si>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</si>
  <si>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</si>
  <si>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</si>
  <si>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</si>
  <si>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</si>
  <si>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</si>
  <si>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</si>
  <si>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</si>
  <si>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</si>
  <si>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</si>
  <si>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</si>
  <si>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</si>
  <si>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</si>
  <si>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</si>
  <si>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</si>
  <si>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</si>
  <si>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</si>
  <si>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</si>
  <si>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</si>
  <si>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</si>
  <si>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</si>
  <si>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</si>
  <si>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</si>
  <si>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</si>
  <si>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</si>
  <si>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</si>
  <si>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</si>
  <si>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</si>
  <si>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</si>
  <si>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</si>
  <si>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</si>
  <si>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</si>
  <si>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</si>
  <si>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</si>
  <si>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</si>
  <si>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</si>
  <si>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</si>
  <si>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</si>
  <si>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</si>
  <si>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0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</si>
  <si>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</si>
  <si>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</si>
  <si>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</si>
  <si>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</si>
  <si>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</si>
  <si>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</si>
  <si>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</si>
  <si>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</si>
  <si>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</si>
  <si>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</si>
  <si>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</si>
  <si>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</si>
  <si>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</si>
  <si>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</si>
  <si>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</si>
  <si>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</si>
  <si>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</si>
  <si>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</si>
  <si>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</si>
  <si>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</si>
  <si>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</si>
  <si>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</si>
  <si>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</si>
  <si>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</si>
  <si>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</si>
  <si>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</si>
  <si>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</si>
  <si>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</si>
  <si>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</si>
  <si>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</si>
  <si>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</si>
  <si>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</si>
  <si>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</si>
  <si>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</si>
  <si>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</si>
  <si>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</si>
  <si>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</si>
  <si>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</si>
  <si>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</si>
  <si>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80</t>
  </si>
  <si>
    <t>82</t>
  </si>
  <si>
    <t>84</t>
  </si>
  <si>
    <t>86</t>
  </si>
  <si>
    <t>88</t>
  </si>
  <si>
    <t>90</t>
  </si>
  <si>
    <t>92</t>
  </si>
  <si>
    <t>94</t>
  </si>
  <si>
    <t>96</t>
  </si>
  <si>
    <t>98</t>
  </si>
  <si>
    <t>100</t>
  </si>
  <si>
    <t>102</t>
  </si>
  <si>
    <t>104</t>
  </si>
  <si>
    <t>106</t>
  </si>
  <si>
    <t>108</t>
  </si>
  <si>
    <t>110</t>
  </si>
  <si>
    <t>112</t>
  </si>
  <si>
    <t>114</t>
  </si>
  <si>
    <t>116</t>
  </si>
  <si>
    <t>118</t>
  </si>
  <si>
    <t>120</t>
  </si>
  <si>
    <t>122</t>
  </si>
  <si>
    <t>124</t>
  </si>
  <si>
    <t>126</t>
  </si>
  <si>
    <t>128</t>
  </si>
  <si>
    <t>130</t>
  </si>
  <si>
    <t>132</t>
  </si>
  <si>
    <t>134</t>
  </si>
  <si>
    <t>136</t>
  </si>
  <si>
    <t>138</t>
  </si>
  <si>
    <t>140</t>
  </si>
  <si>
    <t>142</t>
  </si>
  <si>
    <t>144</t>
  </si>
  <si>
    <t>146</t>
  </si>
  <si>
    <t>148</t>
  </si>
  <si>
    <t>150</t>
  </si>
  <si>
    <t>152</t>
  </si>
  <si>
    <t>154</t>
  </si>
  <si>
    <t>156</t>
  </si>
  <si>
    <t>158</t>
  </si>
  <si>
    <t>160</t>
  </si>
  <si>
    <t>162</t>
  </si>
  <si>
    <t>164</t>
  </si>
  <si>
    <t>166</t>
  </si>
  <si>
    <t>168</t>
  </si>
  <si>
    <t>170</t>
  </si>
  <si>
    <t>172</t>
  </si>
  <si>
    <t>174</t>
  </si>
  <si>
    <t>176</t>
  </si>
  <si>
    <t>178</t>
  </si>
  <si>
    <t>180</t>
  </si>
  <si>
    <t>182</t>
  </si>
  <si>
    <t>184</t>
  </si>
  <si>
    <t>186</t>
  </si>
  <si>
    <t>188</t>
  </si>
  <si>
    <t>190</t>
  </si>
  <si>
    <t>375.9973</t>
  </si>
  <si>
    <t>374.0562</t>
  </si>
  <si>
    <t>372.1156</t>
  </si>
  <si>
    <t>370.1756</t>
  </si>
  <si>
    <t>368.2363</t>
  </si>
  <si>
    <t>366.2977</t>
  </si>
  <si>
    <t>364.3597</t>
  </si>
  <si>
    <t>362.4224</t>
  </si>
  <si>
    <t>360.4858</t>
  </si>
  <si>
    <t>358.5499</t>
  </si>
  <si>
    <t>356.6146</t>
  </si>
  <si>
    <t>354.6801</t>
  </si>
  <si>
    <t>352.7464</t>
  </si>
  <si>
    <t>350.8134</t>
  </si>
  <si>
    <t>348.8811</t>
  </si>
  <si>
    <t>346.9496</t>
  </si>
  <si>
    <t>345.0188</t>
  </si>
  <si>
    <t>343.0889</t>
  </si>
  <si>
    <t>341.1598</t>
  </si>
  <si>
    <t>339.2315</t>
  </si>
  <si>
    <t>337.304</t>
  </si>
  <si>
    <t>335.3774</t>
  </si>
  <si>
    <t>333.4517</t>
  </si>
  <si>
    <t>331.5268</t>
  </si>
  <si>
    <t>329.6028</t>
  </si>
  <si>
    <t>327.6797</t>
  </si>
  <si>
    <t>325.7576</t>
  </si>
  <si>
    <t>323.8364</t>
  </si>
  <si>
    <t>321.9161</t>
  </si>
  <si>
    <t>319.9969</t>
  </si>
  <si>
    <t>318.0786</t>
  </si>
  <si>
    <t>316.1613</t>
  </si>
  <si>
    <t>314.2451</t>
  </si>
  <si>
    <t>312.33</t>
  </si>
  <si>
    <t>310.4159</t>
  </si>
  <si>
    <t>308.5028</t>
  </si>
  <si>
    <t>306.5909</t>
  </si>
  <si>
    <t>304.6801</t>
  </si>
  <si>
    <t>302.7705</t>
  </si>
  <si>
    <t>300.8621</t>
  </si>
  <si>
    <t>298.9548</t>
  </si>
  <si>
    <t>297.0488</t>
  </si>
  <si>
    <t>295.144</t>
  </si>
  <si>
    <t>293.2405</t>
  </si>
  <si>
    <t>291.3383</t>
  </si>
  <si>
    <t>289.4374</t>
  </si>
  <si>
    <t>287.5378</t>
  </si>
  <si>
    <t>285.6396</t>
  </si>
  <si>
    <t>283.7428</t>
  </si>
  <si>
    <t>281.8475</t>
  </si>
  <si>
    <t>279.9536</t>
  </si>
  <si>
    <t>278.0612</t>
  </si>
  <si>
    <t>276.1702</t>
  </si>
  <si>
    <t>274.2809</t>
  </si>
  <si>
    <t>272.3931</t>
  </si>
  <si>
    <t>270.5069</t>
  </si>
  <si>
    <t>268.6224</t>
  </si>
  <si>
    <t>266.7396</t>
  </si>
  <si>
    <t>264.8585</t>
  </si>
  <si>
    <t>262.9791</t>
  </si>
  <si>
    <t>261.1015</t>
  </si>
  <si>
    <t>259.2258</t>
  </si>
  <si>
    <t>257.3519</t>
  </si>
  <si>
    <t>255.4799</t>
  </si>
  <si>
    <t>253.6099</t>
  </si>
  <si>
    <t>251.7419</t>
  </si>
  <si>
    <t>249.876</t>
  </si>
  <si>
    <t>248.0121</t>
  </si>
  <si>
    <t>246.1504</t>
  </si>
  <si>
    <t>244.2908</t>
  </si>
  <si>
    <t>242.4335</t>
  </si>
  <si>
    <t>240.5785</t>
  </si>
  <si>
    <t>238.7258</t>
  </si>
  <si>
    <t>236.8755</t>
  </si>
  <si>
    <t>235.0277</t>
  </si>
  <si>
    <t>233.1823</t>
  </si>
  <si>
    <t>231.3396</t>
  </si>
  <si>
    <t>229.4995</t>
  </si>
  <si>
    <t>227.662</t>
  </si>
  <si>
    <t>225.8274</t>
  </si>
  <si>
    <t>223.9955</t>
  </si>
  <si>
    <t>222.1666</t>
  </si>
  <si>
    <t>220.3407</t>
  </si>
  <si>
    <t>218.5177</t>
  </si>
  <si>
    <t>216.698</t>
  </si>
  <si>
    <t>214.8814</t>
  </si>
  <si>
    <t>213.0681</t>
  </si>
  <si>
    <t>211.2581</t>
  </si>
  <si>
    <t>209.4517</t>
  </si>
  <si>
    <t>207.6487</t>
  </si>
  <si>
    <t>205.8495</t>
  </si>
  <si>
    <t>204.0539</t>
  </si>
  <si>
    <t>202.2622</t>
  </si>
  <si>
    <t>200.4744</t>
  </si>
  <si>
    <t>198.6907</t>
  </si>
  <si>
    <t>196.9111</t>
  </si>
  <si>
    <t>379.2427</t>
  </si>
  <si>
    <t>377.3182</t>
  </si>
  <si>
    <t>375.3945</t>
  </si>
  <si>
    <t>373.4716</t>
  </si>
  <si>
    <t>371.5495</t>
  </si>
  <si>
    <t>369.6282</t>
  </si>
  <si>
    <t>367.7078</t>
  </si>
  <si>
    <t>365.7882</t>
  </si>
  <si>
    <t>363.8695</t>
  </si>
  <si>
    <t>361.9517</t>
  </si>
  <si>
    <t>360.0347</t>
  </si>
  <si>
    <t>358.1187</t>
  </si>
  <si>
    <t>356.2036</t>
  </si>
  <si>
    <t>354.2894</t>
  </si>
  <si>
    <t>352.3762</t>
  </si>
  <si>
    <t>350.464</t>
  </si>
  <si>
    <t>348.5527</t>
  </si>
  <si>
    <t>346.6425</t>
  </si>
  <si>
    <t>344.7332</t>
  </si>
  <si>
    <t>342.825</t>
  </si>
  <si>
    <t>340.9179</t>
  </si>
  <si>
    <t>339.0118</t>
  </si>
  <si>
    <t>337.1068</t>
  </si>
  <si>
    <t>335.2029</t>
  </si>
  <si>
    <t>333.3002</t>
  </si>
  <si>
    <t>331.3986</t>
  </si>
  <si>
    <t>329.4981</t>
  </si>
  <si>
    <t>327.5988</t>
  </si>
  <si>
    <t>325.7008</t>
  </si>
  <si>
    <t>323.804</t>
  </si>
  <si>
    <t>321.9084</t>
  </si>
  <si>
    <t>320.0141</t>
  </si>
  <si>
    <t>318.121</t>
  </si>
  <si>
    <t>316.2293</t>
  </si>
  <si>
    <t>314.339</t>
  </si>
  <si>
    <t>312.45</t>
  </si>
  <si>
    <t>310.5624</t>
  </si>
  <si>
    <t>308.6762</t>
  </si>
  <si>
    <t>306.7915</t>
  </si>
  <si>
    <t>304.9082</t>
  </si>
  <si>
    <t>303.0264</t>
  </si>
  <si>
    <t>301.1461</t>
  </si>
  <si>
    <t>299.2674</t>
  </si>
  <si>
    <t>297.3903</t>
  </si>
  <si>
    <t>295.5148</t>
  </si>
  <si>
    <t>293.6409</t>
  </si>
  <si>
    <t>291.7687</t>
  </si>
  <si>
    <t>289.8983</t>
  </si>
  <si>
    <t>288.0295</t>
  </si>
  <si>
    <t>286.1625</t>
  </si>
  <si>
    <t>284.2974</t>
  </si>
  <si>
    <t>282.4341</t>
  </si>
  <si>
    <t>280.5726</t>
  </si>
  <si>
    <t>278.7131</t>
  </si>
  <si>
    <t>276.8556</t>
  </si>
  <si>
    <t>275</t>
  </si>
  <si>
    <t>273.1465</t>
  </si>
  <si>
    <t>271.295</t>
  </si>
  <si>
    <t>269.4457</t>
  </si>
  <si>
    <t>267.5986</t>
  </si>
  <si>
    <t>265.7536</t>
  </si>
  <si>
    <t>263.911</t>
  </si>
  <si>
    <t>262.0706</t>
  </si>
  <si>
    <t>260.2326</t>
  </si>
  <si>
    <t>258.397</t>
  </si>
  <si>
    <t>256.5638</t>
  </si>
  <si>
    <t>254.7332</t>
  </si>
  <si>
    <t>252.9051</t>
  </si>
  <si>
    <t>251.0797</t>
  </si>
  <si>
    <t>249.2569</t>
  </si>
  <si>
    <t>247.4369</t>
  </si>
  <si>
    <t>245.6196</t>
  </si>
  <si>
    <t>243.8053</t>
  </si>
  <si>
    <t>241.9938</t>
  </si>
  <si>
    <t>240.1853</t>
  </si>
  <si>
    <t>238.3799</t>
  </si>
  <si>
    <t>236.5777</t>
  </si>
  <si>
    <t>234.7786</t>
  </si>
  <si>
    <t>232.9828</t>
  </si>
  <si>
    <t>231.1904</t>
  </si>
  <si>
    <t>229.4014</t>
  </si>
  <si>
    <t>227.6159</t>
  </si>
  <si>
    <t>225.834</t>
  </si>
  <si>
    <t>224.0558</t>
  </si>
  <si>
    <t>222.2814</t>
  </si>
  <si>
    <t>220.5108</t>
  </si>
  <si>
    <t>218.7441</t>
  </si>
  <si>
    <t>216.9816</t>
  </si>
  <si>
    <t>215.2231</t>
  </si>
  <si>
    <t>213.469</t>
  </si>
  <si>
    <t>211.7191</t>
  </si>
  <si>
    <t>209.9738</t>
  </si>
  <si>
    <t>208.233</t>
  </si>
  <si>
    <t>206.497</t>
  </si>
  <si>
    <t>204.7657</t>
  </si>
  <si>
    <t>203.0394</t>
  </si>
  <si>
    <t>28.5</t>
  </si>
  <si>
    <t>34.04999</t>
  </si>
  <si>
    <t>37.57692</t>
  </si>
  <si>
    <t>37.85276</t>
  </si>
  <si>
    <t>37.52793</t>
  </si>
  <si>
    <t>37.41395</t>
  </si>
  <si>
    <t>37.42115</t>
  </si>
  <si>
    <t>37.43576</t>
  </si>
  <si>
    <t>37.43869</t>
  </si>
  <si>
    <t>37.43781</t>
  </si>
  <si>
    <t>37.43756</t>
  </si>
  <si>
    <t>37.33032</t>
  </si>
  <si>
    <t>37.24274</t>
  </si>
  <si>
    <t>37.23238</t>
  </si>
  <si>
    <t>37.23954</t>
  </si>
  <si>
    <t>37.24253</t>
  </si>
  <si>
    <t>37.24249</t>
  </si>
  <si>
    <t>37.24217</t>
  </si>
  <si>
    <t>37.13508</t>
  </si>
  <si>
    <t>37.04761</t>
  </si>
  <si>
    <t>37.03725</t>
  </si>
  <si>
    <t>37.0444</t>
  </si>
  <si>
    <t>37.0474</t>
  </si>
  <si>
    <t>37.04736</t>
  </si>
  <si>
    <t>37.04704</t>
  </si>
  <si>
    <t>36.93999</t>
  </si>
  <si>
    <t>36.85253</t>
  </si>
  <si>
    <t>36.84217</t>
  </si>
  <si>
    <t>36.84933</t>
  </si>
  <si>
    <t>36.85233</t>
  </si>
  <si>
    <t>36.85229</t>
  </si>
  <si>
    <t>36.85197</t>
  </si>
  <si>
    <t>36.74496</t>
  </si>
  <si>
    <t>36.65751</t>
  </si>
  <si>
    <t>36.64714</t>
  </si>
  <si>
    <t>36.6543</t>
  </si>
  <si>
    <t>36.6573</t>
  </si>
  <si>
    <t>36.65726</t>
  </si>
  <si>
    <t>36.65694</t>
  </si>
  <si>
    <t>36.54997</t>
  </si>
  <si>
    <t>36.46254</t>
  </si>
  <si>
    <t>36.45218</t>
  </si>
  <si>
    <t>36.45933</t>
  </si>
  <si>
    <t>36.46233</t>
  </si>
  <si>
    <t>36.4623</t>
  </si>
  <si>
    <t>36.46197</t>
  </si>
  <si>
    <t>36.35505</t>
  </si>
  <si>
    <t>36.26762</t>
  </si>
  <si>
    <t>36.25726</t>
  </si>
  <si>
    <t>36.26442</t>
  </si>
  <si>
    <t>36.26742</t>
  </si>
  <si>
    <t>36.26739</t>
  </si>
  <si>
    <t>36.26706</t>
  </si>
  <si>
    <t>36.16017</t>
  </si>
  <si>
    <t>36.07277</t>
  </si>
  <si>
    <t>36.0624</t>
  </si>
  <si>
    <t>36.06956</t>
  </si>
  <si>
    <t>36.07256</t>
  </si>
  <si>
    <t>36.07253</t>
  </si>
  <si>
    <t>36.0722</t>
  </si>
  <si>
    <t>35.96535</t>
  </si>
  <si>
    <t>35.87796</t>
  </si>
  <si>
    <t>35.86759</t>
  </si>
  <si>
    <t>35.87476</t>
  </si>
  <si>
    <t>35.87776</t>
  </si>
  <si>
    <t>35.87772</t>
  </si>
  <si>
    <t>35.8774</t>
  </si>
  <si>
    <t>35.7706</t>
  </si>
  <si>
    <t>35.68322</t>
  </si>
  <si>
    <t>35.67285</t>
  </si>
  <si>
    <t>35.68002</t>
  </si>
  <si>
    <t>35.68302</t>
  </si>
  <si>
    <t>35.68298</t>
  </si>
  <si>
    <t>35.68266</t>
  </si>
  <si>
    <t>35.5759</t>
  </si>
  <si>
    <t>35.48853</t>
  </si>
  <si>
    <t>35.47816</t>
  </si>
  <si>
    <t>35.48532</t>
  </si>
  <si>
    <t>35.48833</t>
  </si>
  <si>
    <t>35.48829</t>
  </si>
  <si>
    <t>35.48797</t>
  </si>
  <si>
    <t>35.38125</t>
  </si>
  <si>
    <t>35.29391</t>
  </si>
  <si>
    <t>35.28353</t>
  </si>
  <si>
    <t>35.2907</t>
  </si>
  <si>
    <t>35.2937</t>
  </si>
  <si>
    <t>35.29367</t>
  </si>
  <si>
    <t>35.29335</t>
  </si>
  <si>
    <t>35.18667</t>
  </si>
  <si>
    <t>35.09934</t>
  </si>
  <si>
    <t>35.08896</t>
  </si>
  <si>
    <t>35.09613</t>
  </si>
  <si>
    <t>35.09914</t>
  </si>
  <si>
    <t>35.09911</t>
  </si>
  <si>
    <t>35.09878</t>
  </si>
  <si>
    <t>34.99216</t>
  </si>
  <si>
    <t>34.90484</t>
  </si>
  <si>
    <t>34.89445</t>
  </si>
  <si>
    <t>34.90162</t>
  </si>
  <si>
    <t>34.90464</t>
  </si>
  <si>
    <t>34.90461</t>
  </si>
  <si>
    <t>34.90428</t>
  </si>
  <si>
    <t>34.7977</t>
  </si>
  <si>
    <t>34.7104</t>
  </si>
  <si>
    <t>34.70001</t>
  </si>
  <si>
    <t>34.70718</t>
  </si>
  <si>
    <t>34.7102</t>
  </si>
  <si>
    <t>34.71017</t>
  </si>
  <si>
    <t>34.70984</t>
  </si>
  <si>
    <t>34.6033</t>
  </si>
  <si>
    <t>34.51602</t>
  </si>
  <si>
    <t>34.50563</t>
  </si>
  <si>
    <t>34.5128</t>
  </si>
  <si>
    <t>34.51582</t>
  </si>
  <si>
    <t>34.51579</t>
  </si>
  <si>
    <t>34.51546</t>
  </si>
  <si>
    <t>34.40897</t>
  </si>
  <si>
    <t>34.32171</t>
  </si>
  <si>
    <t>34.31131</t>
  </si>
  <si>
    <t>34.31849</t>
  </si>
  <si>
    <t>34.32151</t>
  </si>
  <si>
    <t>34.32147</t>
  </si>
  <si>
    <t>34.32115</t>
  </si>
  <si>
    <t>34.21471</t>
  </si>
  <si>
    <t>34.12746</t>
  </si>
  <si>
    <t>34.11706</t>
  </si>
  <si>
    <t>34.12424</t>
  </si>
  <si>
    <t>34.12726</t>
  </si>
  <si>
    <t>34.12722</t>
  </si>
  <si>
    <t>34.1269</t>
  </si>
  <si>
    <t>34.02051</t>
  </si>
  <si>
    <t>33.93328</t>
  </si>
  <si>
    <t>33.92287</t>
  </si>
  <si>
    <t>33.93005</t>
  </si>
  <si>
    <t>33.93307</t>
  </si>
  <si>
    <t>33.93304</t>
  </si>
  <si>
    <t>33.93272</t>
  </si>
  <si>
    <t>33.82638</t>
  </si>
  <si>
    <t>33.73917</t>
  </si>
  <si>
    <t>33.72876</t>
  </si>
  <si>
    <t>33.73594</t>
  </si>
  <si>
    <t>33.73897</t>
  </si>
  <si>
    <t>33.73894</t>
  </si>
  <si>
    <t>33.73861</t>
  </si>
  <si>
    <t>33.63232</t>
  </si>
  <si>
    <t>33.54512</t>
  </si>
  <si>
    <t>33.53471</t>
  </si>
  <si>
    <t>33.54189</t>
  </si>
  <si>
    <t>33.54492</t>
  </si>
  <si>
    <t>33.54489</t>
  </si>
  <si>
    <t>33.54456</t>
  </si>
  <si>
    <t>33.43832</t>
  </si>
  <si>
    <t>33.35115</t>
  </si>
  <si>
    <t>33.34074</t>
  </si>
  <si>
    <t>33.34792</t>
  </si>
  <si>
    <t>33.35095</t>
  </si>
  <si>
    <t>33.35092</t>
  </si>
  <si>
    <t>33.35059</t>
  </si>
  <si>
    <t>33.24441</t>
  </si>
  <si>
    <t>33.15725</t>
  </si>
  <si>
    <t>33.14683</t>
  </si>
  <si>
    <t>33.15402</t>
  </si>
  <si>
    <t>33.15705</t>
  </si>
  <si>
    <t>33.15702</t>
  </si>
  <si>
    <t>33.15669</t>
  </si>
  <si>
    <t>33.05056</t>
  </si>
  <si>
    <t>32.96341</t>
  </si>
  <si>
    <t>32.953</t>
  </si>
  <si>
    <t>32.96018</t>
  </si>
  <si>
    <t>32.96322</t>
  </si>
  <si>
    <t>32.96319</t>
  </si>
  <si>
    <t>32.96286</t>
  </si>
  <si>
    <t>32.85678</t>
  </si>
  <si>
    <t>32.76966</t>
  </si>
  <si>
    <t>32.75924</t>
  </si>
  <si>
    <t>32.76643</t>
  </si>
  <si>
    <t>32.76947</t>
  </si>
  <si>
    <t>32.76944</t>
  </si>
  <si>
    <t>32.7691</t>
  </si>
  <si>
    <t>32.66309</t>
  </si>
  <si>
    <t>32.57598</t>
  </si>
  <si>
    <t>32.56556</t>
  </si>
  <si>
    <t>32.57275</t>
  </si>
  <si>
    <t>32.57579</t>
  </si>
  <si>
    <t>32.57576</t>
  </si>
  <si>
    <t>32.57543</t>
  </si>
  <si>
    <t>32.46946</t>
  </si>
  <si>
    <t>32.38238</t>
  </si>
  <si>
    <t>32.37195</t>
  </si>
  <si>
    <t>32.37914</t>
  </si>
  <si>
    <t>32.38219</t>
  </si>
  <si>
    <t>32.38216</t>
  </si>
  <si>
    <t>32.38182</t>
  </si>
  <si>
    <t>32.27592</t>
  </si>
  <si>
    <t>32.18886</t>
  </si>
  <si>
    <t>32.17842</t>
  </si>
  <si>
    <t>32.18562</t>
  </si>
  <si>
    <t>32.18866</t>
  </si>
  <si>
    <t>32.18864</t>
  </si>
  <si>
    <t>32.1883</t>
  </si>
  <si>
    <t>32.08245</t>
  </si>
  <si>
    <t>31.99541</t>
  </si>
  <si>
    <t>31.98497</t>
  </si>
  <si>
    <t>31.99217</t>
  </si>
  <si>
    <t>31.99522</t>
  </si>
  <si>
    <t>31.99519</t>
  </si>
  <si>
    <t>31.99486</t>
  </si>
  <si>
    <t>31.88907</t>
  </si>
  <si>
    <t>31.80205</t>
  </si>
  <si>
    <t>31.7916</t>
  </si>
  <si>
    <t>31.79881</t>
  </si>
  <si>
    <t>31.80186</t>
  </si>
  <si>
    <t>31.80183</t>
  </si>
  <si>
    <t>31.8015</t>
  </si>
  <si>
    <t>31.69577</t>
  </si>
  <si>
    <t>31.60877</t>
  </si>
  <si>
    <t>31.59832</t>
  </si>
  <si>
    <t>31.60553</t>
  </si>
  <si>
    <t>31.60858</t>
  </si>
  <si>
    <t>31.60855</t>
  </si>
  <si>
    <t>31.60822</t>
  </si>
  <si>
    <t>31.50255</t>
  </si>
  <si>
    <t>31.41558</t>
  </si>
  <si>
    <t>31.40512</t>
  </si>
  <si>
    <t>31.41233</t>
  </si>
  <si>
    <t>31.41538</t>
  </si>
  <si>
    <t>31.41536</t>
  </si>
  <si>
    <t>31.41502</t>
  </si>
  <si>
    <t>31.30942</t>
  </si>
  <si>
    <t>31.22246</t>
  </si>
  <si>
    <t>31.21201</t>
  </si>
  <si>
    <t>31.21921</t>
  </si>
  <si>
    <t>31.22227</t>
  </si>
  <si>
    <t>31.22225</t>
  </si>
  <si>
    <t>31.22191</t>
  </si>
  <si>
    <t>31.11637</t>
  </si>
  <si>
    <t>31.02944</t>
  </si>
  <si>
    <t>31.01898</t>
  </si>
  <si>
    <t>31.02619</t>
  </si>
  <si>
    <t>31.02925</t>
  </si>
  <si>
    <t>31.02923</t>
  </si>
  <si>
    <t>31.02889</t>
  </si>
  <si>
    <t>30.92342</t>
  </si>
  <si>
    <t>30.83651</t>
  </si>
  <si>
    <t>30.82604</t>
  </si>
  <si>
    <t>30.83325</t>
  </si>
  <si>
    <t>30.83632</t>
  </si>
  <si>
    <t>30.83629</t>
  </si>
  <si>
    <t>30.83596</t>
  </si>
  <si>
    <t>30.73055</t>
  </si>
  <si>
    <t>30.64366</t>
  </si>
  <si>
    <t>30.63319</t>
  </si>
  <si>
    <t>30.64041</t>
  </si>
  <si>
    <t>30.64348</t>
  </si>
  <si>
    <t>30.64345</t>
  </si>
  <si>
    <t>30.64311</t>
  </si>
  <si>
    <t>30.53778</t>
  </si>
  <si>
    <t>30.45091</t>
  </si>
  <si>
    <t>30.44044</t>
  </si>
  <si>
    <t>30.44765</t>
  </si>
  <si>
    <t>30.45073</t>
  </si>
  <si>
    <t>30.4507</t>
  </si>
  <si>
    <t>30.45037</t>
  </si>
  <si>
    <t>30.34509</t>
  </si>
  <si>
    <t>30.25826</t>
  </si>
  <si>
    <t>30.24778</t>
  </si>
  <si>
    <t>30.255</t>
  </si>
  <si>
    <t>30.25807</t>
  </si>
  <si>
    <t>30.25805</t>
  </si>
  <si>
    <t>30.25771</t>
  </si>
  <si>
    <t>30.15251</t>
  </si>
  <si>
    <t>30.0657</t>
  </si>
  <si>
    <t>30.05521</t>
  </si>
  <si>
    <t>30.06243</t>
  </si>
  <si>
    <t>30.06551</t>
  </si>
  <si>
    <t>30.06549</t>
  </si>
  <si>
    <t>30.06515</t>
  </si>
  <si>
    <t>29.96002</t>
  </si>
  <si>
    <t>29.87323</t>
  </si>
  <si>
    <t>29.86275</t>
  </si>
  <si>
    <t>29.86997</t>
  </si>
  <si>
    <t>29.87305</t>
  </si>
  <si>
    <t>29.87302</t>
  </si>
  <si>
    <t>29.87269</t>
  </si>
  <si>
    <t>29.76763</t>
  </si>
  <si>
    <t>29.68087</t>
  </si>
  <si>
    <t>29.67037</t>
  </si>
  <si>
    <t>29.6776</t>
  </si>
  <si>
    <t>29.68069</t>
  </si>
  <si>
    <t>29.68066</t>
  </si>
  <si>
    <t>29.68032</t>
  </si>
  <si>
    <t>29.57534</t>
  </si>
  <si>
    <t>29.48861</t>
  </si>
  <si>
    <t>29.47811</t>
  </si>
  <si>
    <t>29.48534</t>
  </si>
  <si>
    <t>29.48843</t>
  </si>
  <si>
    <t>29.4884</t>
  </si>
  <si>
    <t>29.48806</t>
  </si>
  <si>
    <t>29.38316</t>
  </si>
  <si>
    <t>29.29645</t>
  </si>
  <si>
    <t>29.28594</t>
  </si>
  <si>
    <t>29.29317</t>
  </si>
  <si>
    <t>29.29627</t>
  </si>
  <si>
    <t>29.29624</t>
  </si>
  <si>
    <t>29.2959</t>
  </si>
  <si>
    <t>29.19107</t>
  </si>
  <si>
    <t>29.1044</t>
  </si>
  <si>
    <t>29.09389</t>
  </si>
  <si>
    <t>29.10112</t>
  </si>
  <si>
    <t>29.10422</t>
  </si>
  <si>
    <t>29.10419</t>
  </si>
  <si>
    <t>29.10385</t>
  </si>
  <si>
    <t>28.9991</t>
  </si>
  <si>
    <t>28.91245</t>
  </si>
  <si>
    <t>28.90194</t>
  </si>
  <si>
    <t>28.90917</t>
  </si>
  <si>
    <t>28.91227</t>
  </si>
  <si>
    <t>28.91225</t>
  </si>
  <si>
    <t>28.91191</t>
  </si>
  <si>
    <t>28.80724</t>
  </si>
  <si>
    <t>28.72062</t>
  </si>
  <si>
    <t>28.7101</t>
  </si>
  <si>
    <t>28.71733</t>
  </si>
  <si>
    <t>28.72044</t>
  </si>
  <si>
    <t>28.72042</t>
  </si>
  <si>
    <t>28.72007</t>
  </si>
  <si>
    <t>28.61548</t>
  </si>
  <si>
    <t>28.5289</t>
  </si>
  <si>
    <t>28.51837</t>
  </si>
  <si>
    <t>28.52561</t>
  </si>
  <si>
    <t>28.52872</t>
  </si>
  <si>
    <t>28.52869</t>
  </si>
  <si>
    <t>28.52835</t>
  </si>
  <si>
    <t>28.42385</t>
  </si>
  <si>
    <t>28.33729</t>
  </si>
  <si>
    <t>28.32676</t>
  </si>
  <si>
    <t>28.334</t>
  </si>
  <si>
    <t>28.33711</t>
  </si>
  <si>
    <t>28.33709</t>
  </si>
  <si>
    <t>28.33675</t>
  </si>
  <si>
    <t>28.23233</t>
  </si>
  <si>
    <t>28.1458</t>
  </si>
  <si>
    <t>28.13526</t>
  </si>
  <si>
    <t>28.14251</t>
  </si>
  <si>
    <t>28.14562</t>
  </si>
  <si>
    <t>28.1456</t>
  </si>
  <si>
    <t>28.14526</t>
  </si>
  <si>
    <t>28.04092</t>
  </si>
  <si>
    <t>27.95443</t>
  </si>
  <si>
    <t>27.94388</t>
  </si>
  <si>
    <t>27.95113</t>
  </si>
  <si>
    <t>27.95425</t>
  </si>
  <si>
    <t>27.95423</t>
  </si>
  <si>
    <t>27.95389</t>
  </si>
  <si>
    <t>27.84964</t>
  </si>
  <si>
    <t>27.76318</t>
  </si>
  <si>
    <t>27.75263</t>
  </si>
  <si>
    <t>27.75988</t>
  </si>
  <si>
    <t>27.76301</t>
  </si>
  <si>
    <t>27.76299</t>
  </si>
  <si>
    <t>27.76264</t>
  </si>
  <si>
    <t>27.65848</t>
  </si>
  <si>
    <t>27.57205</t>
  </si>
  <si>
    <t>27.5615</t>
  </si>
  <si>
    <t>27.56875</t>
  </si>
  <si>
    <t>27.57188</t>
  </si>
  <si>
    <t>27.57186</t>
  </si>
  <si>
    <t>27.57151</t>
  </si>
  <si>
    <t>27.46745</t>
  </si>
  <si>
    <t>27.38105</t>
  </si>
  <si>
    <t>27.37049</t>
  </si>
  <si>
    <t>27.37775</t>
  </si>
  <si>
    <t>27.38088</t>
  </si>
  <si>
    <t>27.38086</t>
  </si>
  <si>
    <t>27.38051</t>
  </si>
  <si>
    <t>27.27654</t>
  </si>
  <si>
    <t>27.19018</t>
  </si>
  <si>
    <t>27.17962</t>
  </si>
  <si>
    <t>27.18688</t>
  </si>
  <si>
    <t>27.19001</t>
  </si>
  <si>
    <t>27.18999</t>
  </si>
  <si>
    <t>27.18965</t>
  </si>
  <si>
    <t>27.08577</t>
  </si>
  <si>
    <t>26.99944</t>
  </si>
  <si>
    <t>26.98887</t>
  </si>
  <si>
    <t>26.99614</t>
  </si>
  <si>
    <t>26.99928</t>
  </si>
  <si>
    <t>26.99925</t>
  </si>
  <si>
    <t>26.99891</t>
  </si>
  <si>
    <t>26.89513</t>
  </si>
  <si>
    <t>26.80884</t>
  </si>
  <si>
    <t>26.79826</t>
  </si>
  <si>
    <t>26.80553</t>
  </si>
  <si>
    <t>26.80867</t>
  </si>
  <si>
    <t>26.80865</t>
  </si>
  <si>
    <t>26.80831</t>
  </si>
  <si>
    <t>26.70463</t>
  </si>
  <si>
    <t>26.61838</t>
  </si>
  <si>
    <t>26.60779</t>
  </si>
  <si>
    <t>26.61506</t>
  </si>
  <si>
    <t>26.61821</t>
  </si>
  <si>
    <t>26.61819</t>
  </si>
  <si>
    <t>26.61785</t>
  </si>
  <si>
    <t>26.51427</t>
  </si>
  <si>
    <t>26.42805</t>
  </si>
  <si>
    <t>26.41746</t>
  </si>
  <si>
    <t>26.42473</t>
  </si>
  <si>
    <t>26.42789</t>
  </si>
  <si>
    <t>26.42787</t>
  </si>
  <si>
    <t>26.42752</t>
  </si>
  <si>
    <t>26.32405</t>
  </si>
  <si>
    <t>26.23788</t>
  </si>
  <si>
    <t>26.22728</t>
  </si>
  <si>
    <t>26.23455</t>
  </si>
  <si>
    <t>26.23771</t>
  </si>
  <si>
    <t>26.23769</t>
  </si>
  <si>
    <t>26.23734</t>
  </si>
  <si>
    <t>26.13398</t>
  </si>
  <si>
    <t>26.04784</t>
  </si>
  <si>
    <t>26.03724</t>
  </si>
  <si>
    <t>26.04451</t>
  </si>
  <si>
    <t>26.04768</t>
  </si>
  <si>
    <t>26.04766</t>
  </si>
  <si>
    <t>26.04731</t>
  </si>
  <si>
    <t>25.94406</t>
  </si>
  <si>
    <t>25.85796</t>
  </si>
  <si>
    <t>25.84735</t>
  </si>
  <si>
    <t>25.85463</t>
  </si>
  <si>
    <t>25.8578</t>
  </si>
  <si>
    <t>25.85778</t>
  </si>
  <si>
    <t>25.85743</t>
  </si>
  <si>
    <t>25.75429</t>
  </si>
  <si>
    <t>25.66824</t>
  </si>
  <si>
    <t>25.65762</t>
  </si>
  <si>
    <t>25.6649</t>
  </si>
  <si>
    <t>25.66807</t>
  </si>
  <si>
    <t>25.66806</t>
  </si>
  <si>
    <t>25.66771</t>
  </si>
  <si>
    <t>25.56467</t>
  </si>
  <si>
    <t>25.47867</t>
  </si>
  <si>
    <t>25.46804</t>
  </si>
  <si>
    <t>25.47532</t>
  </si>
  <si>
    <t>25.4785</t>
  </si>
  <si>
    <t>25.47849</t>
  </si>
  <si>
    <t>25.47814</t>
  </si>
  <si>
    <t>25.37522</t>
  </si>
  <si>
    <t>25.28926</t>
  </si>
  <si>
    <t>25.27862</t>
  </si>
  <si>
    <t>25.28591</t>
  </si>
  <si>
    <t>25.28909</t>
  </si>
  <si>
    <t>25.28908</t>
  </si>
  <si>
    <t>25.28872</t>
  </si>
  <si>
    <t>25.18593</t>
  </si>
  <si>
    <t>25.10001</t>
  </si>
  <si>
    <t>25.08937</t>
  </si>
  <si>
    <t>25.09666</t>
  </si>
  <si>
    <t>25.09985</t>
  </si>
  <si>
    <t>25.09984</t>
  </si>
  <si>
    <t>25.09948</t>
  </si>
  <si>
    <t>24.99681</t>
  </si>
  <si>
    <t>24.91093</t>
  </si>
  <si>
    <t>24.90028</t>
  </si>
  <si>
    <t>24.90758</t>
  </si>
  <si>
    <t>24.91078</t>
  </si>
  <si>
    <t>24.91076</t>
  </si>
  <si>
    <t>24.91041</t>
  </si>
  <si>
    <t>24.80785</t>
  </si>
  <si>
    <t>24.72203</t>
  </si>
  <si>
    <t>24.71137</t>
  </si>
  <si>
    <t>24.71867</t>
  </si>
  <si>
    <t>24.72187</t>
  </si>
  <si>
    <t>24.72186</t>
  </si>
  <si>
    <t>24.7215</t>
  </si>
  <si>
    <t>24.61907</t>
  </si>
  <si>
    <t>24.5333</t>
  </si>
  <si>
    <t>24.52263</t>
  </si>
  <si>
    <t>24.52993</t>
  </si>
  <si>
    <t>24.53314</t>
  </si>
  <si>
    <t>24.53313</t>
  </si>
  <si>
    <t>24.53277</t>
  </si>
  <si>
    <t>24.43047</t>
  </si>
  <si>
    <t>24.34475</t>
  </si>
  <si>
    <t>24.33407</t>
  </si>
  <si>
    <t>24.34138</t>
  </si>
  <si>
    <t>24.34459</t>
  </si>
  <si>
    <t>24.34458</t>
  </si>
  <si>
    <t>24.34422</t>
  </si>
  <si>
    <t>24.24206</t>
  </si>
  <si>
    <t>24.15638</t>
  </si>
  <si>
    <t>24.1457</t>
  </si>
  <si>
    <t>24.15301</t>
  </si>
  <si>
    <t>24.15623</t>
  </si>
  <si>
    <t>24.15622</t>
  </si>
  <si>
    <t>24.15586</t>
  </si>
  <si>
    <t>24.05383</t>
  </si>
  <si>
    <t>23.96821</t>
  </si>
  <si>
    <t>23.95751</t>
  </si>
  <si>
    <t>23.96483</t>
  </si>
  <si>
    <t>23.96805</t>
  </si>
  <si>
    <t>23.96804</t>
  </si>
  <si>
    <t>23.96768</t>
  </si>
  <si>
    <t>23.86579</t>
  </si>
  <si>
    <t>23.78022</t>
  </si>
  <si>
    <t>23.76952</t>
  </si>
  <si>
    <t>23.77684</t>
  </si>
  <si>
    <t>23.78007</t>
  </si>
  <si>
    <t>23.78006</t>
  </si>
  <si>
    <t>23.7797</t>
  </si>
  <si>
    <t>23.67795</t>
  </si>
  <si>
    <t>23.59244</t>
  </si>
  <si>
    <t>23.58172</t>
  </si>
  <si>
    <t>23.58905</t>
  </si>
  <si>
    <t>23.59228</t>
  </si>
  <si>
    <t>23.59192</t>
  </si>
  <si>
    <t>23.49031</t>
  </si>
  <si>
    <t>23.40485</t>
  </si>
  <si>
    <t>23.39413</t>
  </si>
  <si>
    <t>23.40146</t>
  </si>
  <si>
    <t>23.4047</t>
  </si>
  <si>
    <t>23.40433</t>
  </si>
  <si>
    <t>23.30288</t>
  </si>
  <si>
    <t>23.21748</t>
  </si>
  <si>
    <t>23.20675</t>
  </si>
  <si>
    <t>23.21408</t>
  </si>
  <si>
    <t>23.21733</t>
  </si>
  <si>
    <t>23.21732</t>
  </si>
  <si>
    <t>23.21696</t>
  </si>
  <si>
    <t>23.11565</t>
  </si>
  <si>
    <t>23.03032</t>
  </si>
  <si>
    <t>23.01957</t>
  </si>
  <si>
    <t>23.02691</t>
  </si>
  <si>
    <t>23.03017</t>
  </si>
  <si>
    <t>23.03016</t>
  </si>
  <si>
    <t>23.02979</t>
  </si>
  <si>
    <t>22.92864</t>
  </si>
  <si>
    <t>22.84337</t>
  </si>
  <si>
    <t>22.83262</t>
  </si>
  <si>
    <t>22.83995</t>
  </si>
  <si>
    <t>22.84322</t>
  </si>
  <si>
    <t>22.84285</t>
  </si>
  <si>
    <t>22.74186</t>
  </si>
  <si>
    <t>22.65665</t>
  </si>
  <si>
    <t>22.64589</t>
  </si>
  <si>
    <t>22.65323</t>
  </si>
  <si>
    <t>22.6565</t>
  </si>
  <si>
    <t>22.65649</t>
  </si>
  <si>
    <t>22.65613</t>
  </si>
  <si>
    <t>22.5553</t>
  </si>
  <si>
    <t>22.47015</t>
  </si>
  <si>
    <t>22.45938</t>
  </si>
  <si>
    <t>22.46673</t>
  </si>
  <si>
    <t>22.47001</t>
  </si>
  <si>
    <t>22.47</t>
  </si>
  <si>
    <t>22.46963</t>
  </si>
  <si>
    <t>22.36897</t>
  </si>
  <si>
    <t>22.28389</t>
  </si>
  <si>
    <t>22.27311</t>
  </si>
  <si>
    <t>22.28046</t>
  </si>
  <si>
    <t>22.28374</t>
  </si>
  <si>
    <t>22.28337</t>
  </si>
  <si>
    <t>22.18288</t>
  </si>
  <si>
    <t>22.09787</t>
  </si>
  <si>
    <t>22.08708</t>
  </si>
  <si>
    <t>22.09443</t>
  </si>
  <si>
    <t>22.09772</t>
  </si>
  <si>
    <t>22.09735</t>
  </si>
  <si>
    <t>21.99703</t>
  </si>
  <si>
    <t>21.9121</t>
  </si>
  <si>
    <t>21.90129</t>
  </si>
  <si>
    <t>21.90865</t>
  </si>
  <si>
    <t>21.91195</t>
  </si>
  <si>
    <t>21.91158</t>
  </si>
  <si>
    <t>21.81144</t>
  </si>
  <si>
    <t>21.72658</t>
  </si>
  <si>
    <t>21.71576</t>
  </si>
  <si>
    <t>21.72313</t>
  </si>
  <si>
    <t>21.72643</t>
  </si>
  <si>
    <t>21.72644</t>
  </si>
  <si>
    <t>21.72606</t>
  </si>
  <si>
    <t>21.6261</t>
  </si>
  <si>
    <t>21.54131</t>
  </si>
  <si>
    <t>21.53049</t>
  </si>
  <si>
    <t>21.53786</t>
  </si>
  <si>
    <t>21.54117</t>
  </si>
  <si>
    <t>21.5408</t>
  </si>
  <si>
    <t>21.44103</t>
  </si>
  <si>
    <t>21.35632</t>
  </si>
  <si>
    <t>21.34548</t>
  </si>
  <si>
    <t>21.35285</t>
  </si>
  <si>
    <t>21.35618</t>
  </si>
  <si>
    <t>21.3558</t>
  </si>
  <si>
    <t>21.25623</t>
  </si>
  <si>
    <t>21.1716</t>
  </si>
  <si>
    <t>21.16075</t>
  </si>
  <si>
    <t>21.16812</t>
  </si>
  <si>
    <t>21.17145</t>
  </si>
  <si>
    <t>21.17146</t>
  </si>
  <si>
    <t>21.17108</t>
  </si>
  <si>
    <t>21.0717</t>
  </si>
  <si>
    <t>20.98715</t>
  </si>
  <si>
    <t>20.97629</t>
  </si>
  <si>
    <t>20.98367</t>
  </si>
  <si>
    <t>20.98701</t>
  </si>
  <si>
    <t>20.98702</t>
  </si>
  <si>
    <t>20.98664</t>
  </si>
  <si>
    <t>20.88746</t>
  </si>
  <si>
    <t>20.803</t>
  </si>
  <si>
    <t>20.79212</t>
  </si>
  <si>
    <t>20.79951</t>
  </si>
  <si>
    <t>20.80286</t>
  </si>
  <si>
    <t>20.80287</t>
  </si>
  <si>
    <t>20.80249</t>
  </si>
  <si>
    <t>20.70352</t>
  </si>
  <si>
    <t>20.61914</t>
  </si>
  <si>
    <t>20.60825</t>
  </si>
  <si>
    <t>20.61564</t>
  </si>
  <si>
    <t>20.619</t>
  </si>
  <si>
    <t>20.61901</t>
  </si>
  <si>
    <t>20.61863</t>
  </si>
  <si>
    <t>20.51987</t>
  </si>
  <si>
    <t>20.43558</t>
  </si>
  <si>
    <t>20.42468</t>
  </si>
  <si>
    <t>20.43207</t>
  </si>
  <si>
    <t>20.43544</t>
  </si>
  <si>
    <t>20.43546</t>
  </si>
  <si>
    <t>20.43507</t>
  </si>
  <si>
    <t>20.33653</t>
  </si>
  <si>
    <t>20.25233</t>
  </si>
  <si>
    <t>20.24142</t>
  </si>
  <si>
    <t>20.24882</t>
  </si>
  <si>
    <t>20.2522</t>
  </si>
  <si>
    <t>20.25221</t>
  </si>
  <si>
    <t>20.25182</t>
  </si>
  <si>
    <t>20.15351</t>
  </si>
  <si>
    <t>20.06941</t>
  </si>
  <si>
    <t>20.05848</t>
  </si>
  <si>
    <t>20.06588</t>
  </si>
  <si>
    <t>20.06927</t>
  </si>
  <si>
    <t>20.06929</t>
  </si>
  <si>
    <t>20.0689</t>
  </si>
  <si>
    <t>19.97081</t>
  </si>
  <si>
    <t>19.88681</t>
  </si>
  <si>
    <t>19.87587</t>
  </si>
  <si>
    <t>19.88328</t>
  </si>
  <si>
    <t>19.88667</t>
  </si>
  <si>
    <t>19.88669</t>
  </si>
  <si>
    <t>19.8863</t>
  </si>
  <si>
    <t>19.78845</t>
  </si>
  <si>
    <t>19.70455</t>
  </si>
  <si>
    <t>19.6936</t>
  </si>
  <si>
    <t>19.70101</t>
  </si>
  <si>
    <t>19.70441</t>
  </si>
  <si>
    <t>19.70444</t>
  </si>
  <si>
    <t>19.70404</t>
  </si>
  <si>
    <t>19.60643</t>
  </si>
  <si>
    <t>19.52264</t>
  </si>
  <si>
    <t>19.51167</t>
  </si>
  <si>
    <t>19.51909</t>
  </si>
  <si>
    <t>19.5225</t>
  </si>
  <si>
    <t>19.52253</t>
  </si>
  <si>
    <t>19.52213</t>
  </si>
  <si>
    <t>19.42477</t>
  </si>
  <si>
    <t>19.34109</t>
  </si>
  <si>
    <t>19.3301</t>
  </si>
  <si>
    <t>19.33752</t>
  </si>
  <si>
    <t>19.34095</t>
  </si>
  <si>
    <t>19.34097</t>
  </si>
  <si>
    <t>19.34058</t>
  </si>
  <si>
    <t>-40</t>
  </si>
  <si>
    <t>-39.2</t>
  </si>
  <si>
    <t>-38.4</t>
  </si>
  <si>
    <t>-37.6</t>
  </si>
  <si>
    <t>-36.8</t>
  </si>
  <si>
    <t>-36</t>
  </si>
  <si>
    <t>-35.2</t>
  </si>
  <si>
    <t>-34.40001</t>
  </si>
  <si>
    <t>-33.60001</t>
  </si>
  <si>
    <t>-32.80001</t>
  </si>
  <si>
    <t>-32.00001</t>
  </si>
  <si>
    <t>-31.20001</t>
  </si>
  <si>
    <t>-30.40001</t>
  </si>
  <si>
    <t>-29.60001</t>
  </si>
  <si>
    <t>-28.80001</t>
  </si>
  <si>
    <t>-28.00001</t>
  </si>
  <si>
    <t>-27.20001</t>
  </si>
  <si>
    <t>-26.40001</t>
  </si>
  <si>
    <t>-25.60001</t>
  </si>
  <si>
    <t>-24.80001</t>
  </si>
  <si>
    <t>-24.00002</t>
  </si>
  <si>
    <t>-23.20002</t>
  </si>
  <si>
    <t>-22.40002</t>
  </si>
  <si>
    <t>-21.60002</t>
  </si>
  <si>
    <t>-20.80002</t>
  </si>
  <si>
    <t>-20.00002</t>
  </si>
  <si>
    <t>-19.20002</t>
  </si>
  <si>
    <t>-18.40002</t>
  </si>
  <si>
    <t>-17.60002</t>
  </si>
  <si>
    <t>-16.80002</t>
  </si>
  <si>
    <t>-16.00002</t>
  </si>
  <si>
    <t>-15.20002</t>
  </si>
  <si>
    <t>-14.40002</t>
  </si>
  <si>
    <t>-13.60002</t>
  </si>
  <si>
    <t>-12.80002</t>
  </si>
  <si>
    <t>-12.00002</t>
  </si>
  <si>
    <t>-11.20002</t>
  </si>
  <si>
    <t>-10.40002</t>
  </si>
  <si>
    <t>-9.600021</t>
  </si>
  <si>
    <t>-8.800021</t>
  </si>
  <si>
    <t>-8.000021</t>
  </si>
  <si>
    <t>-7.200021</t>
  </si>
  <si>
    <t>-6.400021</t>
  </si>
  <si>
    <t>-5.60002</t>
  </si>
  <si>
    <t>-4.80002</t>
  </si>
  <si>
    <t>-4.00002</t>
  </si>
  <si>
    <t>-3.20002</t>
  </si>
  <si>
    <t>-2.40002</t>
  </si>
  <si>
    <t>-1.60002</t>
  </si>
  <si>
    <t>-0.8000202</t>
  </si>
  <si>
    <t>-2.014637E-05</t>
  </si>
  <si>
    <t>0.7999799</t>
  </si>
  <si>
    <t>1.59998</t>
  </si>
  <si>
    <t>2.39998</t>
  </si>
  <si>
    <t>3.19998</t>
  </si>
  <si>
    <t>3.99998</t>
  </si>
  <si>
    <t>4.79998</t>
  </si>
  <si>
    <t>5.59998</t>
  </si>
  <si>
    <t>6.39998</t>
  </si>
  <si>
    <t>7.19998</t>
  </si>
  <si>
    <t>7.99998</t>
  </si>
  <si>
    <t>8.79998</t>
  </si>
  <si>
    <t>9.59998</t>
  </si>
  <si>
    <t>10.39998</t>
  </si>
  <si>
    <t>11.19998</t>
  </si>
  <si>
    <t>11.99998</t>
  </si>
  <si>
    <t>12.79998</t>
  </si>
  <si>
    <t>13.59998</t>
  </si>
  <si>
    <t>14.39998</t>
  </si>
  <si>
    <t>15.19998</t>
  </si>
  <si>
    <t>15.99998</t>
  </si>
  <si>
    <t>16.79998</t>
  </si>
  <si>
    <t>17.59998</t>
  </si>
  <si>
    <t>18.39998</t>
  </si>
  <si>
    <t>19.19998</t>
  </si>
  <si>
    <t>19.99998</t>
  </si>
  <si>
    <t>20.79998</t>
  </si>
  <si>
    <t>21.59998</t>
  </si>
  <si>
    <t>22.39998</t>
  </si>
  <si>
    <t>23.19998</t>
  </si>
  <si>
    <t>23.99998</t>
  </si>
  <si>
    <t>24.79997</t>
  </si>
  <si>
    <t>25.59997</t>
  </si>
  <si>
    <t>26.39997</t>
  </si>
  <si>
    <t>27.19997</t>
  </si>
  <si>
    <t>27.99997</t>
  </si>
  <si>
    <t>28.79997</t>
  </si>
  <si>
    <t>29.59997</t>
  </si>
  <si>
    <t>30.39997</t>
  </si>
  <si>
    <t>31.19997</t>
  </si>
  <si>
    <t>31.99997</t>
  </si>
  <si>
    <t>32.79997</t>
  </si>
  <si>
    <t>33.59997</t>
  </si>
  <si>
    <t>34.39997</t>
  </si>
  <si>
    <t>35.19997</t>
  </si>
  <si>
    <t>35.99997</t>
  </si>
  <si>
    <t>202.0522</t>
  </si>
  <si>
    <t>202.854</t>
  </si>
  <si>
    <t>203.6496</t>
  </si>
  <si>
    <t>204.4389</t>
  </si>
  <si>
    <t>205.2217</t>
  </si>
  <si>
    <t>205.9982</t>
  </si>
  <si>
    <t>206.768</t>
  </si>
  <si>
    <t>207.5313</t>
  </si>
  <si>
    <t>208.2878</t>
  </si>
  <si>
    <t>209.0376</t>
  </si>
  <si>
    <t>209.7806</t>
  </si>
  <si>
    <t>210.5166</t>
  </si>
  <si>
    <t>211.2456</t>
  </si>
  <si>
    <t>211.9676</t>
  </si>
  <si>
    <t>212.6825</t>
  </si>
  <si>
    <t>213.3901</t>
  </si>
  <si>
    <t>214.0905</t>
  </si>
  <si>
    <t>214.7836</t>
  </si>
  <si>
    <t>215.4693</t>
  </si>
  <si>
    <t>216.1476</t>
  </si>
  <si>
    <t>216.8183</t>
  </si>
  <si>
    <t>217.4815</t>
  </si>
  <si>
    <t>218.137</t>
  </si>
  <si>
    <t>218.7849</t>
  </si>
  <si>
    <t>219.425</t>
  </si>
  <si>
    <t>220.0573</t>
  </si>
  <si>
    <t>220.6818</t>
  </si>
  <si>
    <t>221.2983</t>
  </si>
  <si>
    <t>221.9068</t>
  </si>
  <si>
    <t>222.5074</t>
  </si>
  <si>
    <t>223.0999</t>
  </si>
  <si>
    <t>223.6842</t>
  </si>
  <si>
    <t>224.2604</t>
  </si>
  <si>
    <t>224.8283</t>
  </si>
  <si>
    <t>225.388</t>
  </si>
  <si>
    <t>225.9394</t>
  </si>
  <si>
    <t>226.4824</t>
  </si>
  <si>
    <t>227.017</t>
  </si>
  <si>
    <t>227.5431</t>
  </si>
  <si>
    <t>228.0608</t>
  </si>
  <si>
    <t>228.5699</t>
  </si>
  <si>
    <t>229.0704</t>
  </si>
  <si>
    <t>229.5623</t>
  </si>
  <si>
    <t>230.0455</t>
  </si>
  <si>
    <t>230.52</t>
  </si>
  <si>
    <t>230.9858</t>
  </si>
  <si>
    <t>231.4428</t>
  </si>
  <si>
    <t>231.891</t>
  </si>
  <si>
    <t>232.3304</t>
  </si>
  <si>
    <t>232.7608</t>
  </si>
  <si>
    <t>233.5949</t>
  </si>
  <si>
    <t>233.9985</t>
  </si>
  <si>
    <t>234.393</t>
  </si>
  <si>
    <t>234.7785</t>
  </si>
  <si>
    <t>235.155</t>
  </si>
  <si>
    <t>235.5223</t>
  </si>
  <si>
    <t>235.8805</t>
  </si>
  <si>
    <t>236.2295</t>
  </si>
  <si>
    <t>236.5693</t>
  </si>
  <si>
    <t>236.8999</t>
  </si>
  <si>
    <t>237.2212</t>
  </si>
  <si>
    <t>237.5332</t>
  </si>
  <si>
    <t>237.836</t>
  </si>
  <si>
    <t>238.1295</t>
  </si>
  <si>
    <t>238.4136</t>
  </si>
  <si>
    <t>238.6883</t>
  </si>
  <si>
    <t>238.9536</t>
  </si>
  <si>
    <t>239.2096</t>
  </si>
  <si>
    <t>239.4561</t>
  </si>
  <si>
    <t>239.6931</t>
  </si>
  <si>
    <t>239.9207</t>
  </si>
  <si>
    <t>240.1389</t>
  </si>
  <si>
    <t>240.3475</t>
  </si>
  <si>
    <t>240.5466</t>
  </si>
  <si>
    <t>240.7362</t>
  </si>
  <si>
    <t>240.9162</t>
  </si>
  <si>
    <t>241.0867</t>
  </si>
  <si>
    <t>241.2476</t>
  </si>
  <si>
    <t>241.3989</t>
  </si>
  <si>
    <t>241.5406</t>
  </si>
  <si>
    <t>241.6727</t>
  </si>
  <si>
    <t>241.7952</t>
  </si>
  <si>
    <t>241.9081</t>
  </si>
  <si>
    <t>242.0114</t>
  </si>
  <si>
    <t>242.105</t>
  </si>
  <si>
    <t>242.1889</t>
  </si>
  <si>
    <t>242.2633</t>
  </si>
  <si>
    <t>242.3279</t>
  </si>
  <si>
    <t>242.3829</t>
  </si>
  <si>
    <t>242.4282</t>
  </si>
  <si>
    <t>242.4639</t>
  </si>
  <si>
    <t>242.4898</t>
  </si>
  <si>
    <t>242.5061</t>
  </si>
  <si>
    <t>242.5127</t>
  </si>
  <si>
    <t>369.7315</t>
  </si>
  <si>
    <t>367.4179</t>
  </si>
  <si>
    <t>365.0885</t>
  </si>
  <si>
    <t>362.7434</t>
  </si>
  <si>
    <t>360.3829</t>
  </si>
  <si>
    <t>358.0071</t>
  </si>
  <si>
    <t>355.6161</t>
  </si>
  <si>
    <t>353.2101</t>
  </si>
  <si>
    <t>350.7893</t>
  </si>
  <si>
    <t>348.3539</t>
  </si>
  <si>
    <t>345.9039</t>
  </si>
  <si>
    <t>343.4396</t>
  </si>
  <si>
    <t>340.9612</t>
  </si>
  <si>
    <t>338.4688</t>
  </si>
  <si>
    <t>335.9626</t>
  </si>
  <si>
    <t>333.4428</t>
  </si>
  <si>
    <t>330.9096</t>
  </si>
  <si>
    <t>328.3632</t>
  </si>
  <si>
    <t>325.8037</t>
  </si>
  <si>
    <t>323.2314</t>
  </si>
  <si>
    <t>320.6465</t>
  </si>
  <si>
    <t>318.0491</t>
  </si>
  <si>
    <t>315.4395</t>
  </si>
  <si>
    <t>312.8178</t>
  </si>
  <si>
    <t>310.1844</t>
  </si>
  <si>
    <t>307.5393</t>
  </si>
  <si>
    <t>304.8829</t>
  </si>
  <si>
    <t>302.2153</t>
  </si>
  <si>
    <t>299.5368</t>
  </si>
  <si>
    <t>296.8476</t>
  </si>
  <si>
    <t>294.148</t>
  </si>
  <si>
    <t>291.4381</t>
  </si>
  <si>
    <t>288.7184</t>
  </si>
  <si>
    <t>285.9888</t>
  </si>
  <si>
    <t>283.2499</t>
  </si>
  <si>
    <t>280.5017</t>
  </si>
  <si>
    <t>277.7447</t>
  </si>
  <si>
    <t>274.979</t>
  </si>
  <si>
    <t>272.205</t>
  </si>
  <si>
    <t>269.4229</t>
  </si>
  <si>
    <t>266.6331</t>
  </si>
  <si>
    <t>263.8358</t>
  </si>
  <si>
    <t>261.0314</t>
  </si>
  <si>
    <t>258.2202</t>
  </si>
  <si>
    <t>255.4025</t>
  </si>
  <si>
    <t>252.5786</t>
  </si>
  <si>
    <t>249.749</t>
  </si>
  <si>
    <t>246.914</t>
  </si>
  <si>
    <t>244.0738</t>
  </si>
  <si>
    <t>241.2291</t>
  </si>
  <si>
    <t>238.38</t>
  </si>
  <si>
    <t>235.5271</t>
  </si>
  <si>
    <t>232.6708</t>
  </si>
  <si>
    <t>229.8114</t>
  </si>
  <si>
    <t>226.9496</t>
  </si>
  <si>
    <t>224.0856</t>
  </si>
  <si>
    <t>221.2201</t>
  </si>
  <si>
    <t>218.3536</t>
  </si>
  <si>
    <t>215.4864</t>
  </si>
  <si>
    <t>212.6193</t>
  </si>
  <si>
    <t>209.7527</t>
  </si>
  <si>
    <t>206.8873</t>
  </si>
  <si>
    <t>204.0237</t>
  </si>
  <si>
    <t>201.1626</t>
  </si>
  <si>
    <t>198.3045</t>
  </si>
  <si>
    <t>195.4503</t>
  </si>
  <si>
    <t>192.6006</t>
  </si>
  <si>
    <t>189.7562</t>
  </si>
  <si>
    <t>186.918</t>
  </si>
  <si>
    <t>184.0868</t>
  </si>
  <si>
    <t>181.2634</t>
  </si>
  <si>
    <t>178.4489</t>
  </si>
  <si>
    <t>175.6441</t>
  </si>
  <si>
    <t>172.8503</t>
  </si>
  <si>
    <t>170.0683</t>
  </si>
  <si>
    <t>167.2994</t>
  </si>
  <si>
    <t>164.5448</t>
  </si>
  <si>
    <t>161.8058</t>
  </si>
  <si>
    <t>159.0838</t>
  </si>
  <si>
    <t>156.3801</t>
  </si>
  <si>
    <t>153.6962</t>
  </si>
  <si>
    <t>151.0338</t>
  </si>
  <si>
    <t>148.3946</t>
  </si>
  <si>
    <t>145.7803</t>
  </si>
  <si>
    <t>143.1929</t>
  </si>
  <si>
    <t>140.6342</t>
  </si>
  <si>
    <t>138.1066</t>
  </si>
  <si>
    <t>135.6121</t>
  </si>
  <si>
    <t>133.1531</t>
  </si>
  <si>
    <t>130.7322</t>
  </si>
  <si>
    <t>128.352</t>
  </si>
  <si>
    <t>126.0152</t>
  </si>
  <si>
    <t>123.7248</t>
  </si>
  <si>
    <t>121.4839</t>
  </si>
  <si>
    <t>119.2957</t>
  </si>
  <si>
    <t>320.8748</t>
  </si>
  <si>
    <t>320.4626</t>
  </si>
  <si>
    <t>321.4483</t>
  </si>
  <si>
    <t>322.9579</t>
  </si>
  <si>
    <t>324.1141</t>
  </si>
  <si>
    <t>325.3933</t>
  </si>
  <si>
    <t>326.1096</t>
  </si>
  <si>
    <t>326.3216</t>
  </si>
  <si>
    <t>326.0311</t>
  </si>
  <si>
    <t>325.4924</t>
  </si>
  <si>
    <t>325.4107</t>
  </si>
  <si>
    <t>326.4093</t>
  </si>
  <si>
    <t>328.216</t>
  </si>
  <si>
    <t>330.0575</t>
  </si>
  <si>
    <t>331.4856</t>
  </si>
  <si>
    <t>332.4625</t>
  </si>
  <si>
    <t>333.0698</t>
  </si>
  <si>
    <t>333.3256</t>
  </si>
  <si>
    <t>333.2614</t>
  </si>
  <si>
    <t>333.1315</t>
  </si>
  <si>
    <t>333.423</t>
  </si>
  <si>
    <t>334.4353</t>
  </si>
  <si>
    <t>335.9189</t>
  </si>
  <si>
    <t>337.3876</t>
  </si>
  <si>
    <t>338.5664</t>
  </si>
  <si>
    <t>339.4344</t>
  </si>
  <si>
    <t>340.0418</t>
  </si>
  <si>
    <t>340.3974</t>
  </si>
  <si>
    <t>340.5377</t>
  </si>
  <si>
    <t>340.6612</t>
  </si>
  <si>
    <t>341.0966</t>
  </si>
  <si>
    <t>342.0204</t>
  </si>
  <si>
    <t>343.2606</t>
  </si>
  <si>
    <t>344.4968</t>
  </si>
  <si>
    <t>345.5368</t>
  </si>
  <si>
    <t>346.3526</t>
  </si>
  <si>
    <t>346.9663</t>
  </si>
  <si>
    <t>347.3843</t>
  </si>
  <si>
    <t>347.6524</t>
  </si>
  <si>
    <t>347.9335</t>
  </si>
  <si>
    <t>348.4553</t>
  </si>
  <si>
    <t>349.321</t>
  </si>
  <si>
    <t>350.4074</t>
  </si>
  <si>
    <t>351.5014</t>
  </si>
  <si>
    <t>352.4633</t>
  </si>
  <si>
    <t>353.2458</t>
  </si>
  <si>
    <t>353.839</t>
  </si>
  <si>
    <t>354.2579</t>
  </si>
  <si>
    <t>354.5817</t>
  </si>
  <si>
    <t>354.9652</t>
  </si>
  <si>
    <t>355.5637</t>
  </si>
  <si>
    <t>356.4177</t>
  </si>
  <si>
    <t>357.4322</t>
  </si>
  <si>
    <t>358.4664</t>
  </si>
  <si>
    <t>359.3987</t>
  </si>
  <si>
    <t>0.1369255</t>
  </si>
  <si>
    <t>0.6471549</t>
  </si>
  <si>
    <t>0.9961179</t>
  </si>
  <si>
    <t>1.330936</t>
  </si>
  <si>
    <t>1.800984</t>
  </si>
  <si>
    <t>2.486625</t>
  </si>
  <si>
    <t>3.382214</t>
  </si>
  <si>
    <t>4.422674</t>
  </si>
  <si>
    <t>5.486152</t>
  </si>
  <si>
    <t>6.385808</t>
  </si>
  <si>
    <t>6.96735</t>
  </si>
  <si>
    <t>7.271751</t>
  </si>
  <si>
    <t>7.514041</t>
  </si>
  <si>
    <t>7.893225</t>
  </si>
  <si>
    <t>8.489508</t>
  </si>
  <si>
    <t>9.316272</t>
  </si>
  <si>
    <t>10.37669</t>
  </si>
  <si>
    <t>11.58252</t>
  </si>
  <si>
    <t>12.64298</t>
  </si>
  <si>
    <t>13.22935</t>
  </si>
  <si>
    <t>13.37356</t>
  </si>
  <si>
    <t>13.4492</t>
  </si>
  <si>
    <t>13.74741</t>
  </si>
  <si>
    <t>14.32434</t>
  </si>
  <si>
    <t>15.18995</t>
  </si>
  <si>
    <t>16.40584</t>
  </si>
  <si>
    <t>17.83672</t>
  </si>
  <si>
    <t>18.92263</t>
  </si>
  <si>
    <t>19.18287</t>
  </si>
  <si>
    <t>18.95737</t>
  </si>
  <si>
    <t>18.90358</t>
  </si>
  <si>
    <t>19.25365</t>
  </si>
  <si>
    <t>19.97277</t>
  </si>
  <si>
    <t>21.16155</t>
  </si>
  <si>
    <t>22.83978</t>
  </si>
  <si>
    <t>24.28931</t>
  </si>
  <si>
    <t>24.49561</t>
  </si>
  <si>
    <t>23.87311</t>
  </si>
  <si>
    <t>23.54113</t>
  </si>
  <si>
    <t>23.80276</t>
  </si>
  <si>
    <t>24.56669</t>
  </si>
  <si>
    <t>26.03464</t>
  </si>
  <si>
    <t>28.08737</t>
  </si>
  <si>
    <t>29.16049</t>
  </si>
  <si>
    <t>36.79996</t>
  </si>
  <si>
    <t>37.59996</t>
  </si>
  <si>
    <t>38.39996</t>
  </si>
  <si>
    <t>39.19996</t>
  </si>
  <si>
    <t>39.99996</t>
  </si>
  <si>
    <t>40.79996</t>
  </si>
  <si>
    <t>281.73</t>
  </si>
  <si>
    <t>281.0185</t>
  </si>
  <si>
    <t>280.2953</t>
  </si>
  <si>
    <t>279.5605</t>
  </si>
  <si>
    <t>278.8142</t>
  </si>
  <si>
    <t>278.0565</t>
  </si>
  <si>
    <t>277.2874</t>
  </si>
  <si>
    <t>276.5069</t>
  </si>
  <si>
    <t>275.7151</t>
  </si>
  <si>
    <t>274.9122</t>
  </si>
  <si>
    <t>274.0981</t>
  </si>
  <si>
    <t>273.2728</t>
  </si>
  <si>
    <t>272.4364</t>
  </si>
  <si>
    <t>271.5891</t>
  </si>
  <si>
    <t>270.7309</t>
  </si>
  <si>
    <t>269.8618</t>
  </si>
  <si>
    <t>268.9819</t>
  </si>
  <si>
    <t>268.0912</t>
  </si>
  <si>
    <t>267.1899</t>
  </si>
  <si>
    <t>266.278</t>
  </si>
  <si>
    <t>265.3556</t>
  </si>
  <si>
    <t>264.4227</t>
  </si>
  <si>
    <t>263.4794</t>
  </si>
  <si>
    <t>262.5258</t>
  </si>
  <si>
    <t>261.562</t>
  </si>
  <si>
    <t>260.588</t>
  </si>
  <si>
    <t>259.6039</t>
  </si>
  <si>
    <t>258.6099</t>
  </si>
  <si>
    <t>257.6058</t>
  </si>
  <si>
    <t>256.592</t>
  </si>
  <si>
    <t>255.5683</t>
  </si>
  <si>
    <t>254.535</t>
  </si>
  <si>
    <t>253.4921</t>
  </si>
  <si>
    <t>252.4397</t>
  </si>
  <si>
    <t>251.3778</t>
  </si>
  <si>
    <t>250.3066</t>
  </si>
  <si>
    <t>249.2262</t>
  </si>
  <si>
    <t>248.1365</t>
  </si>
  <si>
    <t>247.0379</t>
  </si>
  <si>
    <t>245.9302</t>
  </si>
  <si>
    <t>244.8137</t>
  </si>
  <si>
    <t>243.6884</t>
  </si>
  <si>
    <t>242.5544</t>
  </si>
  <si>
    <t>241.4118</t>
  </si>
  <si>
    <t>240.2608</t>
  </si>
  <si>
    <t>239.1013</t>
  </si>
  <si>
    <t>237.9337</t>
  </si>
  <si>
    <t>236.7578</t>
  </si>
  <si>
    <t>235.5739</t>
  </si>
  <si>
    <t>234.382</t>
  </si>
  <si>
    <t>233.1824</t>
  </si>
  <si>
    <t>231.975</t>
  </si>
  <si>
    <t>230.76</t>
  </si>
  <si>
    <t>229.5375</t>
  </si>
  <si>
    <t>228.3076</t>
  </si>
  <si>
    <t>227.0705</t>
  </si>
  <si>
    <t>225.8263</t>
  </si>
  <si>
    <t>224.5751</t>
  </si>
  <si>
    <t>223.3171</t>
  </si>
  <si>
    <t>222.0523</t>
  </si>
  <si>
    <t>220.7809</t>
  </si>
  <si>
    <t>219.5031</t>
  </si>
  <si>
    <t>218.2189</t>
  </si>
  <si>
    <t>216.9285</t>
  </si>
  <si>
    <t>215.6322</t>
  </si>
  <si>
    <t>214.3299</t>
  </si>
  <si>
    <t>213.0218</t>
  </si>
  <si>
    <t>211.7082</t>
  </si>
  <si>
    <t>210.3891</t>
  </si>
  <si>
    <t>209.0648</t>
  </si>
  <si>
    <t>207.7352</t>
  </si>
  <si>
    <t>206.4008</t>
  </si>
  <si>
    <t>205.0615</t>
  </si>
  <si>
    <t>203.7176</t>
  </si>
  <si>
    <t>202.3693</t>
  </si>
  <si>
    <t>201.0167</t>
  </si>
  <si>
    <t>199.6599</t>
  </si>
  <si>
    <t>198.2993</t>
  </si>
  <si>
    <t>196.9349</t>
  </si>
  <si>
    <t>195.567</t>
  </si>
  <si>
    <t>194.1957</t>
  </si>
  <si>
    <t>192.8213</t>
  </si>
  <si>
    <t>191.4439</t>
  </si>
  <si>
    <t>190.0638</t>
  </si>
  <si>
    <t>188.6812</t>
  </si>
  <si>
    <t>187.2962</t>
  </si>
  <si>
    <t>185.9092</t>
  </si>
  <si>
    <t>184.5203</t>
  </si>
  <si>
    <t>183.1298</t>
  </si>
  <si>
    <t>181.7378</t>
  </si>
  <si>
    <t>180.3448</t>
  </si>
  <si>
    <t>178.9508</t>
  </si>
  <si>
    <t>177.5562</t>
  </si>
  <si>
    <t>176.1612</t>
  </si>
  <si>
    <t>174.766</t>
  </si>
  <si>
    <t>173.371</t>
  </si>
  <si>
    <t>171.9765</t>
  </si>
  <si>
    <t>170.5826</t>
  </si>
  <si>
    <t>169.1898</t>
  </si>
  <si>
    <t>167.7982</t>
  </si>
  <si>
    <t>166.4083</t>
  </si>
  <si>
    <t>286.0469</t>
  </si>
  <si>
    <t>285.3461</t>
  </si>
  <si>
    <t>284.6339</t>
  </si>
  <si>
    <t>283.9103</t>
  </si>
  <si>
    <t>283.1755</t>
  </si>
  <si>
    <t>282.4295</t>
  </si>
  <si>
    <t>281.6723</t>
  </si>
  <si>
    <t>280.9041</t>
  </si>
  <si>
    <t>280.1247</t>
  </si>
  <si>
    <t>279.3344</t>
  </si>
  <si>
    <t>278.5332</t>
  </si>
  <si>
    <t>277.7211</t>
  </si>
  <si>
    <t>276.8982</t>
  </si>
  <si>
    <t>276.0646</t>
  </si>
  <si>
    <t>275.2203</t>
  </si>
  <si>
    <t>274.3654</t>
  </si>
  <si>
    <t>273.5</t>
  </si>
  <si>
    <t>272.6241</t>
  </si>
  <si>
    <t>271.7379</t>
  </si>
  <si>
    <t>270.8412</t>
  </si>
  <si>
    <t>269.9344</t>
  </si>
  <si>
    <t>269.0174</t>
  </si>
  <si>
    <t>268.0903</t>
  </si>
  <si>
    <t>267.1532</t>
  </si>
  <si>
    <t>266.2061</t>
  </si>
  <si>
    <t>265.2491</t>
  </si>
  <si>
    <t>264.2824</t>
  </si>
  <si>
    <t>263.306</t>
  </si>
  <si>
    <t>262.32</t>
  </si>
  <si>
    <t>261.3244</t>
  </si>
  <si>
    <t>260.3194</t>
  </si>
  <si>
    <t>259.305</t>
  </si>
  <si>
    <t>258.2813</t>
  </si>
  <si>
    <t>257.2485</t>
  </si>
  <si>
    <t>256.2065</t>
  </si>
  <si>
    <t>255.1556</t>
  </si>
  <si>
    <t>254.0958</t>
  </si>
  <si>
    <t>253.0271</t>
  </si>
  <si>
    <t>251.9498</t>
  </si>
  <si>
    <t>250.8638</t>
  </si>
  <si>
    <t>249.7694</t>
  </si>
  <si>
    <t>248.6665</t>
  </si>
  <si>
    <t>247.5553</t>
  </si>
  <si>
    <t>246.4359</t>
  </si>
  <si>
    <t>245.3084</t>
  </si>
  <si>
    <t>244.173</t>
  </si>
  <si>
    <t>243.0297</t>
  </si>
  <si>
    <t>241.8786</t>
  </si>
  <si>
    <t>240.7199</t>
  </si>
  <si>
    <t>239.5536</t>
  </si>
  <si>
    <t>237.199</t>
  </si>
  <si>
    <t>236.0109</t>
  </si>
  <si>
    <t>234.8158</t>
  </si>
  <si>
    <t>233.6137</t>
  </si>
  <si>
    <t>232.4049</t>
  </si>
  <si>
    <t>231.1894</t>
  </si>
  <si>
    <t>229.9674</t>
  </si>
  <si>
    <t>228.739</t>
  </si>
  <si>
    <t>227.5044</t>
  </si>
  <si>
    <t>226.2636</t>
  </si>
  <si>
    <t>225.0169</t>
  </si>
  <si>
    <t>223.7644</t>
  </si>
  <si>
    <t>222.5062</t>
  </si>
  <si>
    <t>221.2425</t>
  </si>
  <si>
    <t>219.9734</t>
  </si>
  <si>
    <t>218.6991</t>
  </si>
  <si>
    <t>217.4198</t>
  </si>
  <si>
    <t>216.1355</t>
  </si>
  <si>
    <t>214.8466</t>
  </si>
  <si>
    <t>213.5531</t>
  </si>
  <si>
    <t>212.2552</t>
  </si>
  <si>
    <t>210.9531</t>
  </si>
  <si>
    <t>209.647</t>
  </si>
  <si>
    <t>208.3371</t>
  </si>
  <si>
    <t>207.0234</t>
  </si>
  <si>
    <t>205.7063</t>
  </si>
  <si>
    <t>204.3859</t>
  </si>
  <si>
    <t>203.0624</t>
  </si>
  <si>
    <t>201.7361</t>
  </si>
  <si>
    <t>200.407</t>
  </si>
  <si>
    <t>199.0755</t>
  </si>
  <si>
    <t>197.7417</t>
  </si>
  <si>
    <t>196.4058</t>
  </si>
  <si>
    <t>195.0681</t>
  </si>
  <si>
    <t>193.7289</t>
  </si>
  <si>
    <t>192.3882</t>
  </si>
  <si>
    <t>191.0464</t>
  </si>
  <si>
    <t>189.7038</t>
  </si>
  <si>
    <t>188.3604</t>
  </si>
  <si>
    <t>187.0167</t>
  </si>
  <si>
    <t>185.6728</t>
  </si>
  <si>
    <t>184.3291</t>
  </si>
  <si>
    <t>182.9857</t>
  </si>
  <si>
    <t>181.6429</t>
  </si>
  <si>
    <t>180.3012</t>
  </si>
  <si>
    <t>178.9606</t>
  </si>
  <si>
    <t>177.6216</t>
  </si>
  <si>
    <t>176.2844</t>
  </si>
  <si>
    <t>174.9493</t>
  </si>
  <si>
    <t>173.6166</t>
  </si>
  <si>
    <t>173.6165</t>
  </si>
  <si>
    <t>174.9492</t>
  </si>
  <si>
    <t>176.2843</t>
  </si>
  <si>
    <t>177.6215</t>
  </si>
  <si>
    <t>180.3011</t>
  </si>
  <si>
    <t>182.9856</t>
  </si>
  <si>
    <t>184.329</t>
  </si>
  <si>
    <t>185.6727</t>
  </si>
  <si>
    <t>187.0166</t>
  </si>
  <si>
    <t>188.3603</t>
  </si>
  <si>
    <t>189.7037</t>
  </si>
  <si>
    <t>193.7288</t>
  </si>
  <si>
    <t>196.4057</t>
  </si>
  <si>
    <t>197.7416</t>
  </si>
  <si>
    <t>199.0754</t>
  </si>
  <si>
    <t>200.4069</t>
  </si>
  <si>
    <t>201.736</t>
  </si>
  <si>
    <t>204.3858</t>
  </si>
  <si>
    <t>208.337</t>
  </si>
  <si>
    <t>213.553</t>
  </si>
  <si>
    <t>214.8465</t>
  </si>
  <si>
    <t>217.4197</t>
  </si>
  <si>
    <t>219.9733</t>
  </si>
  <si>
    <t>221.2424</t>
  </si>
  <si>
    <t>222.5061</t>
  </si>
  <si>
    <t>223.7643</t>
  </si>
  <si>
    <t>225.0168</t>
  </si>
  <si>
    <t>226.2635</t>
  </si>
  <si>
    <t>227.5043</t>
  </si>
  <si>
    <t>228.7389</t>
  </si>
  <si>
    <t>229.9673</t>
  </si>
  <si>
    <t>231.1893</t>
  </si>
  <si>
    <t>232.4048</t>
  </si>
  <si>
    <t>234.8157</t>
  </si>
  <si>
    <t>240.7198</t>
  </si>
  <si>
    <t>241.8785</t>
  </si>
  <si>
    <t>243.0296</t>
  </si>
  <si>
    <t>244.1729</t>
  </si>
  <si>
    <t>247.5552</t>
  </si>
  <si>
    <t>248.6664</t>
  </si>
  <si>
    <t>249.7693</t>
  </si>
  <si>
    <t>254.0957</t>
  </si>
  <si>
    <t>257.2484</t>
  </si>
  <si>
    <t>259.3049</t>
  </si>
  <si>
    <t>260.3193</t>
  </si>
  <si>
    <t>262.3199</t>
  </si>
  <si>
    <t>267.1531</t>
  </si>
  <si>
    <t>268.0902</t>
  </si>
  <si>
    <t>271.7378</t>
  </si>
  <si>
    <t>273.4999</t>
  </si>
  <si>
    <t>275.2202</t>
  </si>
  <si>
    <t>276.0645</t>
  </si>
  <si>
    <t>278.5331</t>
  </si>
  <si>
    <t>280.904</t>
  </si>
  <si>
    <t>285.346</t>
  </si>
  <si>
    <t>286.0468</t>
  </si>
  <si>
    <t>166.4082</t>
  </si>
  <si>
    <t>167.7981</t>
  </si>
  <si>
    <t>169.1897</t>
  </si>
  <si>
    <t>171.9764</t>
  </si>
  <si>
    <t>176.1611</t>
  </si>
  <si>
    <t>177.5561</t>
  </si>
  <si>
    <t>178.9507</t>
  </si>
  <si>
    <t>180.3447</t>
  </si>
  <si>
    <t>183.1297</t>
  </si>
  <si>
    <t>184.5202</t>
  </si>
  <si>
    <t>185.9091</t>
  </si>
  <si>
    <t>187.2961</t>
  </si>
  <si>
    <t>188.6811</t>
  </si>
  <si>
    <t>190.0637</t>
  </si>
  <si>
    <t>191.4438</t>
  </si>
  <si>
    <t>192.8212</t>
  </si>
  <si>
    <t>194.1956</t>
  </si>
  <si>
    <t>195.5669</t>
  </si>
  <si>
    <t>196.9348</t>
  </si>
  <si>
    <t>198.2992</t>
  </si>
  <si>
    <t>201.0166</t>
  </si>
  <si>
    <t>202.3692</t>
  </si>
  <si>
    <t>206.4007</t>
  </si>
  <si>
    <t>209.0647</t>
  </si>
  <si>
    <t>211.7081</t>
  </si>
  <si>
    <t>214.3298</t>
  </si>
  <si>
    <t>215.6321</t>
  </si>
  <si>
    <t>219.503</t>
  </si>
  <si>
    <t>222.0522</t>
  </si>
  <si>
    <t>223.317</t>
  </si>
  <si>
    <t>229.5374</t>
  </si>
  <si>
    <t>230.7599</t>
  </si>
  <si>
    <t>231.9749</t>
  </si>
  <si>
    <t>235.5738</t>
  </si>
  <si>
    <t>237.9336</t>
  </si>
  <si>
    <t>240.2607</t>
  </si>
  <si>
    <t>242.5543</t>
  </si>
  <si>
    <t>243.6883</t>
  </si>
  <si>
    <t>244.8136</t>
  </si>
  <si>
    <t>245.9301</t>
  </si>
  <si>
    <t>247.0378</t>
  </si>
  <si>
    <t>249.2261</t>
  </si>
  <si>
    <t>250.3065</t>
  </si>
  <si>
    <t>251.3777</t>
  </si>
  <si>
    <t>252.4396</t>
  </si>
  <si>
    <t>256.5919</t>
  </si>
  <si>
    <t>258.6098</t>
  </si>
  <si>
    <t>264.4226</t>
  </si>
  <si>
    <t>265.3555</t>
  </si>
  <si>
    <t>268.9818</t>
  </si>
  <si>
    <t>269.8617</t>
  </si>
  <si>
    <t>270.7308</t>
  </si>
  <si>
    <t>273.2727</t>
  </si>
  <si>
    <t>274.098</t>
  </si>
  <si>
    <t>280.2952</t>
  </si>
  <si>
    <t>281.0184</t>
  </si>
  <si>
    <t>46.56744</t>
  </si>
  <si>
    <t>45.81608</t>
  </si>
  <si>
    <t>47.30365</t>
  </si>
  <si>
    <t>49.90541</t>
  </si>
  <si>
    <t>52.12798</t>
  </si>
  <si>
    <t>51.00032</t>
  </si>
  <si>
    <t>46.39216</t>
  </si>
  <si>
    <t>42.15617</t>
  </si>
  <si>
    <t>40.51163</t>
  </si>
  <si>
    <t>41.085</t>
  </si>
  <si>
    <t>42.22176</t>
  </si>
  <si>
    <t>42.67533</t>
  </si>
  <si>
    <t>42.27076</t>
  </si>
  <si>
    <t>40.78079</t>
  </si>
  <si>
    <t>38.11908</t>
  </si>
  <si>
    <t>35.42517</t>
  </si>
  <si>
    <t>34.02985</t>
  </si>
  <si>
    <t>34.056</t>
  </si>
  <si>
    <t>34.42217</t>
  </si>
  <si>
    <t>34.03934</t>
  </si>
  <si>
    <t>32.93125</t>
  </si>
  <si>
    <t>31.58284</t>
  </si>
  <si>
    <t>30.02128</t>
  </si>
  <si>
    <t>28.21922</t>
  </si>
  <si>
    <t>26.66163</t>
  </si>
  <si>
    <t>25.86691</t>
  </si>
  <si>
    <t>25.68259</t>
  </si>
  <si>
    <t>25.35921</t>
  </si>
  <si>
    <t>24.36561</t>
  </si>
  <si>
    <t>22.91748</t>
  </si>
  <si>
    <t>21.45794</t>
  </si>
  <si>
    <t>20.10015</t>
  </si>
  <si>
    <t>18.78249</t>
  </si>
  <si>
    <t>17.62764</t>
  </si>
  <si>
    <t>16.84292</t>
  </si>
  <si>
    <t>16.35065</t>
  </si>
  <si>
    <t>15.74096</t>
  </si>
  <si>
    <t>14.66585</t>
  </si>
  <si>
    <t>13.20645</t>
  </si>
  <si>
    <t>11.69928</t>
  </si>
  <si>
    <t>10.36037</t>
  </si>
  <si>
    <t>9.221482</t>
  </si>
  <si>
    <t>8.277237</t>
  </si>
  <si>
    <t>7.529695</t>
  </si>
  <si>
    <t>6.883677</t>
  </si>
  <si>
    <t>6.11298</t>
  </si>
  <si>
    <t>5.013278</t>
  </si>
  <si>
    <t>3.598477</t>
  </si>
  <si>
    <t>2.083135</t>
  </si>
  <si>
    <t>0.6935208</t>
  </si>
  <si>
    <t>359.5733</t>
  </si>
  <si>
    <t>358.7743</t>
  </si>
  <si>
    <t>358.2054</t>
  </si>
  <si>
    <t>357.6216</t>
  </si>
  <si>
    <t>356.7543</t>
  </si>
  <si>
    <t>355.4859</t>
  </si>
  <si>
    <t>353.9315</t>
  </si>
  <si>
    <t>352.3399</t>
  </si>
  <si>
    <t>350.9264</t>
  </si>
  <si>
    <t>349.8526</t>
  </si>
  <si>
    <t>349.2429</t>
  </si>
  <si>
    <t>349.0139</t>
  </si>
  <si>
    <t>348.7398</t>
  </si>
  <si>
    <t>347.9073</t>
  </si>
  <si>
    <t>346.3158</t>
  </si>
  <si>
    <t>344.239</t>
  </si>
  <si>
    <t>342.229</t>
  </si>
  <si>
    <t>340.7256</t>
  </si>
  <si>
    <t>339.9191</t>
  </si>
  <si>
    <t>339.8535</t>
  </si>
  <si>
    <t>340.2927</t>
  </si>
  <si>
    <t>340.5286</t>
  </si>
  <si>
    <t>339.7241</t>
  </si>
  <si>
    <t>337.5264</t>
  </si>
  <si>
    <t>334.3911</t>
  </si>
  <si>
    <t>331.4557</t>
  </si>
  <si>
    <t>329.8754</t>
  </si>
  <si>
    <t>330.0264</t>
  </si>
  <si>
    <t>331.3727</t>
  </si>
  <si>
    <t>332.858</t>
  </si>
  <si>
    <t>333.2986</t>
  </si>
  <si>
    <t>331.7895</t>
  </si>
  <si>
    <t>328.1332</t>
  </si>
  <si>
    <t>323.2796</t>
  </si>
  <si>
    <t>319.6725</t>
  </si>
  <si>
    <t>319.7466</t>
  </si>
  <si>
    <t>322.6314</t>
  </si>
  <si>
    <t>325.5358</t>
  </si>
  <si>
    <t>326.6896</t>
  </si>
  <si>
    <t>325.3749</t>
  </si>
  <si>
    <t>321.4292</t>
  </si>
  <si>
    <t>315.5952</t>
  </si>
  <si>
    <t>310.9645</t>
  </si>
  <si>
    <t>311.6424</t>
  </si>
  <si>
    <t>315.7108</t>
  </si>
  <si>
    <t>318.7144</t>
  </si>
  <si>
    <t>318.9134</t>
  </si>
  <si>
    <t>316.4593</t>
  </si>
  <si>
    <t>312.4059</t>
  </si>
  <si>
    <t>308.3824</t>
  </si>
  <si>
    <t>306.404</t>
  </si>
  <si>
    <t>50.24425</t>
  </si>
  <si>
    <t>49.46606</t>
  </si>
  <si>
    <t>49.12216</t>
  </si>
  <si>
    <t>49.08899</t>
  </si>
  <si>
    <t>48.92343</t>
  </si>
  <si>
    <t>47.94707</t>
  </si>
  <si>
    <t>46.2037</t>
  </si>
  <si>
    <t>44.44397</t>
  </si>
  <si>
    <t>43.13388</t>
  </si>
  <si>
    <t>42.21077</t>
  </si>
  <si>
    <t>41.53767</t>
  </si>
  <si>
    <t>41.0929</t>
  </si>
  <si>
    <t>40.69037</t>
  </si>
  <si>
    <t>39.91621</t>
  </si>
  <si>
    <t>38.58527</t>
  </si>
  <si>
    <t>36.99369</t>
  </si>
  <si>
    <t>35.529</t>
  </si>
  <si>
    <t>34.31844</t>
  </si>
  <si>
    <t>33.32705</t>
  </si>
  <si>
    <t>32.55272</t>
  </si>
  <si>
    <t>31.97085</t>
  </si>
  <si>
    <t>31.38062</t>
  </si>
  <si>
    <t>30.4919</t>
  </si>
  <si>
    <t>29.21339</t>
  </si>
  <si>
    <t>27.73656</t>
  </si>
  <si>
    <t>26.3092</t>
  </si>
  <si>
    <t>25.05056</t>
  </si>
  <si>
    <t>23.98489</t>
  </si>
  <si>
    <t>23.12362</t>
  </si>
  <si>
    <t>22.4335</t>
  </si>
  <si>
    <t>21.76469</t>
  </si>
  <si>
    <t>20.90364</t>
  </si>
  <si>
    <t>19.74225</t>
  </si>
  <si>
    <t>18.36581</t>
  </si>
  <si>
    <t>16.95455</t>
  </si>
  <si>
    <t>15.64769</t>
  </si>
  <si>
    <t>14.51071</t>
  </si>
  <si>
    <t>13.56426</t>
  </si>
  <si>
    <t>12.7823</t>
  </si>
  <si>
    <t>12.06356</t>
  </si>
  <si>
    <t>11.2511</t>
  </si>
  <si>
    <t>10.22323</t>
  </si>
  <si>
    <t>8.976953</t>
  </si>
  <si>
    <t>7.616003</t>
  </si>
  <si>
    <t>6.272309</t>
  </si>
  <si>
    <t>5.049184</t>
  </si>
  <si>
    <t>4.004251</t>
  </si>
  <si>
    <t>3.136369</t>
  </si>
  <si>
    <t>2.374982</t>
  </si>
  <si>
    <t>1.599652</t>
  </si>
  <si>
    <t>0.6947416</t>
  </si>
  <si>
    <t>359.6048</t>
  </si>
  <si>
    <t>358.3516</t>
  </si>
  <si>
    <t>357.0127</t>
  </si>
  <si>
    <t>355.6949</t>
  </si>
  <si>
    <t>354.5072</t>
  </si>
  <si>
    <t>353.5144</t>
  </si>
  <si>
    <t>352.6942</t>
  </si>
  <si>
    <t>351.9488</t>
  </si>
  <si>
    <t>351.1645</t>
  </si>
  <si>
    <t>350.2588</t>
  </si>
  <si>
    <t>349.1848</t>
  </si>
  <si>
    <t>347.9301</t>
  </si>
  <si>
    <t>346.5429</t>
  </si>
  <si>
    <t>345.1557</t>
  </si>
  <si>
    <t>343.9373</t>
  </si>
  <si>
    <t>342.9834</t>
  </si>
  <si>
    <t>342.2556</t>
  </si>
  <si>
    <t>341.6341</t>
  </si>
  <si>
    <t>340.9901</t>
  </si>
  <si>
    <t>340.1931</t>
  </si>
  <si>
    <t>339.1068</t>
  </si>
  <si>
    <t>337.6677</t>
  </si>
  <si>
    <t>335.9972</t>
  </si>
  <si>
    <t>334.4066</t>
  </si>
  <si>
    <t>333.2185</t>
  </si>
  <si>
    <t>332.5459</t>
  </si>
  <si>
    <t>332.2495</t>
  </si>
  <si>
    <t>332.0511</t>
  </si>
  <si>
    <t>331.622</t>
  </si>
  <si>
    <t>330.6462</t>
  </si>
  <si>
    <t>328.9687</t>
  </si>
  <si>
    <t>326.7911</t>
  </si>
  <si>
    <t>324.7231</t>
  </si>
  <si>
    <t>323.476</t>
  </si>
  <si>
    <t>323.2905</t>
  </si>
  <si>
    <t>323.7237</t>
  </si>
  <si>
    <t>324.038</t>
  </si>
  <si>
    <t>323.6183</t>
  </si>
  <si>
    <t>322.1333</t>
  </si>
  <si>
    <t>319.6662</t>
  </si>
  <si>
    <t>316.9196</t>
  </si>
  <si>
    <t>315.1279</t>
  </si>
  <si>
    <t>315.0513</t>
  </si>
  <si>
    <t>316.0201</t>
  </si>
  <si>
    <t>316.723</t>
  </si>
  <si>
    <t>316.3361</t>
  </si>
  <si>
    <t>314.708</t>
  </si>
  <si>
    <t>312.2005</t>
  </si>
  <si>
    <t>309.6793</t>
  </si>
  <si>
    <t>308.295</t>
  </si>
  <si>
    <t>252.2563</t>
  </si>
  <si>
    <t>251.7515</t>
  </si>
  <si>
    <t>251.2498</t>
  </si>
  <si>
    <t>250.7515</t>
  </si>
  <si>
    <t>250.2567</t>
  </si>
  <si>
    <t>249.7655</t>
  </si>
  <si>
    <t>249.278</t>
  </si>
  <si>
    <t>248.7943</t>
  </si>
  <si>
    <t>248.3145</t>
  </si>
  <si>
    <t>247.8388</t>
  </si>
  <si>
    <t>247.3673</t>
  </si>
  <si>
    <t>246.9001</t>
  </si>
  <si>
    <t>246.4372</t>
  </si>
  <si>
    <t>245.9789</t>
  </si>
  <si>
    <t>245.5252</t>
  </si>
  <si>
    <t>245.0763</t>
  </si>
  <si>
    <t>244.6322</t>
  </si>
  <si>
    <t>244.1931</t>
  </si>
  <si>
    <t>243.7591</t>
  </si>
  <si>
    <t>243.3303</t>
  </si>
  <si>
    <t>242.9068</t>
  </si>
  <si>
    <t>242.4888</t>
  </si>
  <si>
    <t>242.0762</t>
  </si>
  <si>
    <t>241.6693</t>
  </si>
  <si>
    <t>241.2682</t>
  </si>
  <si>
    <t>240.8729</t>
  </si>
  <si>
    <t>240.4836</t>
  </si>
  <si>
    <t>240.1003</t>
  </si>
  <si>
    <t>239.7233</t>
  </si>
  <si>
    <t>239.3524</t>
  </si>
  <si>
    <t>238.988</t>
  </si>
  <si>
    <t>238.6301</t>
  </si>
  <si>
    <t>238.2787</t>
  </si>
  <si>
    <t>237.934</t>
  </si>
  <si>
    <t>237.596</t>
  </si>
  <si>
    <t>237.265</t>
  </si>
  <si>
    <t>236.9409</t>
  </si>
  <si>
    <t>236.6238</t>
  </si>
  <si>
    <t>236.3139</t>
  </si>
  <si>
    <t>236.0112</t>
  </si>
  <si>
    <t>235.7158</t>
  </si>
  <si>
    <t>235.4279</t>
  </si>
  <si>
    <t>235.1474</t>
  </si>
  <si>
    <t>234.8745</t>
  </si>
  <si>
    <t>234.6092</t>
  </si>
  <si>
    <t>234.3516</t>
  </si>
  <si>
    <t>234.1019</t>
  </si>
  <si>
    <t>233.86</t>
  </si>
  <si>
    <t>233.6261</t>
  </si>
  <si>
    <t>233.4002</t>
  </si>
  <si>
    <t>232.9727</t>
  </si>
  <si>
    <t>232.7712</t>
  </si>
  <si>
    <t>232.578</t>
  </si>
  <si>
    <t>232.3931</t>
  </si>
  <si>
    <t>232.2166</t>
  </si>
  <si>
    <t>232.0486</t>
  </si>
  <si>
    <t>231.889</t>
  </si>
  <si>
    <t>231.738</t>
  </si>
  <si>
    <t>231.5956</t>
  </si>
  <si>
    <t>231.4618</t>
  </si>
  <si>
    <t>231.3367</t>
  </si>
  <si>
    <t>231.2202</t>
  </si>
  <si>
    <t>231.1125</t>
  </si>
  <si>
    <t>231.0136</t>
  </si>
  <si>
    <t>230.9235</t>
  </si>
  <si>
    <t>230.8423</t>
  </si>
  <si>
    <t>230.7699</t>
  </si>
  <si>
    <t>230.7064</t>
  </si>
  <si>
    <t>230.6518</t>
  </si>
  <si>
    <t>230.6061</t>
  </si>
  <si>
    <t>230.5693</t>
  </si>
  <si>
    <t>230.5415</t>
  </si>
  <si>
    <t>230.5227</t>
  </si>
  <si>
    <t>230.5128</t>
  </si>
  <si>
    <t>230.5118</t>
  </si>
  <si>
    <t>230.5199</t>
  </si>
  <si>
    <t>230.5369</t>
  </si>
  <si>
    <t>230.5628</t>
  </si>
  <si>
    <t>230.5977</t>
  </si>
  <si>
    <t>230.6416</t>
  </si>
  <si>
    <t>230.6943</t>
  </si>
  <si>
    <t>230.756</t>
  </si>
  <si>
    <t>230.8266</t>
  </si>
  <si>
    <t>230.906</t>
  </si>
  <si>
    <t>230.9942</t>
  </si>
  <si>
    <t>231.0913</t>
  </si>
  <si>
    <t>231.1972</t>
  </si>
  <si>
    <t>231.3118</t>
  </si>
  <si>
    <t>231.4351</t>
  </si>
  <si>
    <t>231.5671</t>
  </si>
  <si>
    <t>231.7078</t>
  </si>
  <si>
    <t>231.857</t>
  </si>
  <si>
    <t>232.0148</t>
  </si>
  <si>
    <t>232.1811</t>
  </si>
  <si>
    <t>232.3558</t>
  </si>
  <si>
    <t>232.539</t>
  </si>
  <si>
    <t>232.7304</t>
  </si>
  <si>
    <t>232.9302</t>
  </si>
  <si>
    <t>233.1382</t>
  </si>
  <si>
    <t>233.3543</t>
  </si>
  <si>
    <t>226.2454</t>
  </si>
  <si>
    <t>225.2008</t>
  </si>
  <si>
    <t>224.2033</t>
  </si>
  <si>
    <t>223.2538</t>
  </si>
  <si>
    <t>222.353</t>
  </si>
  <si>
    <t>221.5019</t>
  </si>
  <si>
    <t>220.701</t>
  </si>
  <si>
    <t>219.9512</t>
  </si>
  <si>
    <t>219.253</t>
  </si>
  <si>
    <t>218.6071</t>
  </si>
  <si>
    <t>218.0142</t>
  </si>
  <si>
    <t>217.4747</t>
  </si>
  <si>
    <t>216.9891</t>
  </si>
  <si>
    <t>216.558</t>
  </si>
  <si>
    <t>216.1817</t>
  </si>
  <si>
    <t>215.8605</t>
  </si>
  <si>
    <t>215.5949</t>
  </si>
  <si>
    <t>215.385</t>
  </si>
  <si>
    <t>215.2311</t>
  </si>
  <si>
    <t>215.1333</t>
  </si>
  <si>
    <t>215.0916</t>
  </si>
  <si>
    <t>215.1062</t>
  </si>
  <si>
    <t>215.1771</t>
  </si>
  <si>
    <t>215.3041</t>
  </si>
  <si>
    <t>215.4871</t>
  </si>
  <si>
    <t>215.726</t>
  </si>
  <si>
    <t>216.0205</t>
  </si>
  <si>
    <t>216.3703</t>
  </si>
  <si>
    <t>216.7751</t>
  </si>
  <si>
    <t>217.2346</t>
  </si>
  <si>
    <t>217.7482</t>
  </si>
  <si>
    <t>218.3156</t>
  </si>
  <si>
    <t>218.9361</t>
  </si>
  <si>
    <t>219.6092</t>
  </si>
  <si>
    <t>220.3343</t>
  </si>
  <si>
    <t>221.1107</t>
  </si>
  <si>
    <t>221.9378</t>
  </si>
  <si>
    <t>222.8148</t>
  </si>
  <si>
    <t>223.741</t>
  </si>
  <si>
    <t>224.7155</t>
  </si>
  <si>
    <t>225.7376</t>
  </si>
  <si>
    <t>226.8065</t>
  </si>
  <si>
    <t>227.9211</t>
  </si>
  <si>
    <t>229.0808</t>
  </si>
  <si>
    <t>230.2845</t>
  </si>
  <si>
    <t>231.5314</t>
  </si>
  <si>
    <t>232.8205</t>
  </si>
  <si>
    <t>234.1508</t>
  </si>
  <si>
    <t>235.5215</t>
  </si>
  <si>
    <t>236.9315</t>
  </si>
  <si>
    <t>239.8657</t>
  </si>
  <si>
    <t>241.3879</t>
  </si>
  <si>
    <t>242.9456</t>
  </si>
  <si>
    <t>244.5377</t>
  </si>
  <si>
    <t>246.1633</t>
  </si>
  <si>
    <t>247.8215</t>
  </si>
  <si>
    <t>249.5112</t>
  </si>
  <si>
    <t>251.2314</t>
  </si>
  <si>
    <t>252.9813</t>
  </si>
  <si>
    <t>254.7599</t>
  </si>
  <si>
    <t>256.5662</t>
  </si>
  <si>
    <t>258.3994</t>
  </si>
  <si>
    <t>260.2584</t>
  </si>
  <si>
    <t>262.1424</t>
  </si>
  <si>
    <t>264.0505</t>
  </si>
  <si>
    <t>265.9818</t>
  </si>
  <si>
    <t>267.9355</t>
  </si>
  <si>
    <t>269.9106</t>
  </si>
  <si>
    <t>271.9063</t>
  </si>
  <si>
    <t>273.9218</t>
  </si>
  <si>
    <t>275.9562</t>
  </si>
  <si>
    <t>278.0088</t>
  </si>
  <si>
    <t>280.0788</t>
  </si>
  <si>
    <t>282.1653</t>
  </si>
  <si>
    <t>284.2676</t>
  </si>
  <si>
    <t>286.385</t>
  </si>
  <si>
    <t>288.5167</t>
  </si>
  <si>
    <t>290.662</t>
  </si>
  <si>
    <t>292.8202</t>
  </si>
  <si>
    <t>294.9905</t>
  </si>
  <si>
    <t>297.1723</t>
  </si>
  <si>
    <t>299.365</t>
  </si>
  <si>
    <t>301.5677</t>
  </si>
  <si>
    <t>303.7801</t>
  </si>
  <si>
    <t>306.0013</t>
  </si>
  <si>
    <t>308.2307</t>
  </si>
  <si>
    <t>310.4678</t>
  </si>
  <si>
    <t>312.712</t>
  </si>
  <si>
    <t>314.9627</t>
  </si>
  <si>
    <t>317.2192</t>
  </si>
  <si>
    <t>319.4811</t>
  </si>
  <si>
    <t>321.7478</t>
  </si>
  <si>
    <t>324.0188</t>
  </si>
  <si>
    <t>326.2934</t>
  </si>
  <si>
    <t>328.5713</t>
  </si>
  <si>
    <t>330.8519</t>
  </si>
  <si>
    <t>333.1347</t>
  </si>
  <si>
    <t>335.4192</t>
  </si>
  <si>
    <t>337.705</t>
  </si>
  <si>
    <t>339.9915</t>
  </si>
  <si>
    <t>339.9916</t>
  </si>
  <si>
    <t>337.7051</t>
  </si>
  <si>
    <t>335.4193</t>
  </si>
  <si>
    <t>333.1348</t>
  </si>
  <si>
    <t>330.852</t>
  </si>
  <si>
    <t>328.5714</t>
  </si>
  <si>
    <t>326.2935</t>
  </si>
  <si>
    <t>324.0189</t>
  </si>
  <si>
    <t>321.7479</t>
  </si>
  <si>
    <t>319.4812</t>
  </si>
  <si>
    <t>317.2193</t>
  </si>
  <si>
    <t>314.9628</t>
  </si>
  <si>
    <t>312.7122</t>
  </si>
  <si>
    <t>310.468</t>
  </si>
  <si>
    <t>308.2308</t>
  </si>
  <si>
    <t>306.0014</t>
  </si>
  <si>
    <t>303.7802</t>
  </si>
  <si>
    <t>301.5679</t>
  </si>
  <si>
    <t>299.3651</t>
  </si>
  <si>
    <t>297.1724</t>
  </si>
  <si>
    <t>294.9906</t>
  </si>
  <si>
    <t>292.8203</t>
  </si>
  <si>
    <t>290.6621</t>
  </si>
  <si>
    <t>288.5168</t>
  </si>
  <si>
    <t>286.3851</t>
  </si>
  <si>
    <t>284.2677</t>
  </si>
  <si>
    <t>282.1654</t>
  </si>
  <si>
    <t>280.0789</t>
  </si>
  <si>
    <t>278.0089</t>
  </si>
  <si>
    <t>275.9563</t>
  </si>
  <si>
    <t>273.9219</t>
  </si>
  <si>
    <t>271.9064</t>
  </si>
  <si>
    <t>269.9107</t>
  </si>
  <si>
    <t>267.9356</t>
  </si>
  <si>
    <t>265.982</t>
  </si>
  <si>
    <t>264.0506</t>
  </si>
  <si>
    <t>262.1425</t>
  </si>
  <si>
    <t>260.2585</t>
  </si>
  <si>
    <t>258.3995</t>
  </si>
  <si>
    <t>256.5663</t>
  </si>
  <si>
    <t>254.76</t>
  </si>
  <si>
    <t>252.9814</t>
  </si>
  <si>
    <t>251.2315</t>
  </si>
  <si>
    <t>246.1634</t>
  </si>
  <si>
    <t>244.5378</t>
  </si>
  <si>
    <t>242.9457</t>
  </si>
  <si>
    <t>241.388</t>
  </si>
  <si>
    <t>239.8658</t>
  </si>
  <si>
    <t>236.9316</t>
  </si>
  <si>
    <t>235.5216</t>
  </si>
  <si>
    <t>234.1509</t>
  </si>
  <si>
    <t>232.8206</t>
  </si>
  <si>
    <t>231.5315</t>
  </si>
  <si>
    <t>230.2846</t>
  </si>
  <si>
    <t>229.0809</t>
  </si>
  <si>
    <t>227.9212</t>
  </si>
  <si>
    <t>225.7377</t>
  </si>
  <si>
    <t>224.7156</t>
  </si>
  <si>
    <t>222.8149</t>
  </si>
  <si>
    <t>221.9379</t>
  </si>
  <si>
    <t>221.1108</t>
  </si>
  <si>
    <t>217.7483</t>
  </si>
  <si>
    <t>216.7752</t>
  </si>
  <si>
    <t>219.9511</t>
  </si>
  <si>
    <t>221.5018</t>
  </si>
  <si>
    <t>223.2537</t>
  </si>
  <si>
    <t>224.2032</t>
  </si>
  <si>
    <t>225.2007</t>
  </si>
  <si>
    <t>232.7305</t>
  </si>
  <si>
    <t>231.3366</t>
  </si>
  <si>
    <t>232.9726</t>
  </si>
  <si>
    <t>234.8744</t>
  </si>
  <si>
    <t>235.4278</t>
  </si>
  <si>
    <t>236.9408</t>
  </si>
  <si>
    <t>238.63</t>
  </si>
  <si>
    <t>246.9</t>
  </si>
  <si>
    <t>251.7514</t>
  </si>
  <si>
    <t>321.1603</t>
  </si>
  <si>
    <t>321.8614</t>
  </si>
  <si>
    <t>322.6456</t>
  </si>
  <si>
    <t>323.4264</t>
  </si>
  <si>
    <t>324.2349</t>
  </si>
  <si>
    <t>325.0012</t>
  </si>
  <si>
    <t>325.7893</t>
  </si>
  <si>
    <t>326.5671</t>
  </si>
  <si>
    <t>327.3705</t>
  </si>
  <si>
    <t>328.1484</t>
  </si>
  <si>
    <t>328.9455</t>
  </si>
  <si>
    <t>329.7334</t>
  </si>
  <si>
    <t>330.5096</t>
  </si>
  <si>
    <t>331.3075</t>
  </si>
  <si>
    <t>332.0964</t>
  </si>
  <si>
    <t>332.8835</t>
  </si>
  <si>
    <t>333.6643</t>
  </si>
  <si>
    <t>334.4522</t>
  </si>
  <si>
    <t>335.2499</t>
  </si>
  <si>
    <t>336.0464</t>
  </si>
  <si>
    <t>336.8338</t>
  </si>
  <si>
    <t>337.617</t>
  </si>
  <si>
    <t>338.3949</t>
  </si>
  <si>
    <t>339.174</t>
  </si>
  <si>
    <t>339.9496</t>
  </si>
  <si>
    <t>340.7238</t>
  </si>
  <si>
    <t>341.5035</t>
  </si>
  <si>
    <t>342.2793</t>
  </si>
  <si>
    <t>343.0479</t>
  </si>
  <si>
    <t>343.8201</t>
  </si>
  <si>
    <t>344.5927</t>
  </si>
  <si>
    <t>345.3629</t>
  </si>
  <si>
    <t>346.1325</t>
  </si>
  <si>
    <t>346.8972</t>
  </si>
  <si>
    <t>347.6682</t>
  </si>
  <si>
    <t>348.4365</t>
  </si>
  <si>
    <t>349.205</t>
  </si>
  <si>
    <t>349.9708</t>
  </si>
  <si>
    <t>350.7401</t>
  </si>
  <si>
    <t>351.5099</t>
  </si>
  <si>
    <t>352.277</t>
  </si>
  <si>
    <t>353.0419</t>
  </si>
  <si>
    <t>353.7989</t>
  </si>
  <si>
    <t>354.5535</t>
  </si>
  <si>
    <t>355.3127</t>
  </si>
  <si>
    <t>356.069</t>
  </si>
  <si>
    <t>356.8274</t>
  </si>
  <si>
    <t>357.5862</t>
  </si>
  <si>
    <t>358.3459</t>
  </si>
  <si>
    <t>359.1041</t>
  </si>
  <si>
    <t>359.8572</t>
  </si>
  <si>
    <t>0.6072332</t>
  </si>
  <si>
    <t>1.357437</t>
  </si>
  <si>
    <t>2.098476</t>
  </si>
  <si>
    <t>3.048444</t>
  </si>
  <si>
    <t>3.811559</t>
  </si>
  <si>
    <t>4.583194</t>
  </si>
  <si>
    <t>5.274157</t>
  </si>
  <si>
    <t>5.966085</t>
  </si>
  <si>
    <t>6.894665</t>
  </si>
  <si>
    <t>7.655276</t>
  </si>
  <si>
    <t>8.386283</t>
  </si>
  <si>
    <t>9.052468</t>
  </si>
  <si>
    <t>9.971584</t>
  </si>
  <si>
    <t>10.72264</t>
  </si>
  <si>
    <t>11.40468</t>
  </si>
  <si>
    <t>12.27684</t>
  </si>
  <si>
    <t>13.03171</t>
  </si>
  <si>
    <t>13.62382</t>
  </si>
  <si>
    <t>14.57905</t>
  </si>
  <si>
    <t>15.34297</t>
  </si>
  <si>
    <t>16.12675</t>
  </si>
  <si>
    <t>16.87169</t>
  </si>
  <si>
    <t>17.64648</t>
  </si>
  <si>
    <t>18.38425</t>
  </si>
  <si>
    <t>19.21345</t>
  </si>
  <si>
    <t>19.9823</t>
  </si>
  <si>
    <t>20.77809</t>
  </si>
  <si>
    <t>21.4897</t>
  </si>
  <si>
    <t>22.31202</t>
  </si>
  <si>
    <t>23.05815</t>
  </si>
  <si>
    <t>23.85755</t>
  </si>
  <si>
    <t>24.58732</t>
  </si>
  <si>
    <t>25.43031</t>
  </si>
  <si>
    <t>26.1034</t>
  </si>
  <si>
    <t>27.00495</t>
  </si>
  <si>
    <t>27.63873</t>
  </si>
  <si>
    <t>28.57678</t>
  </si>
  <si>
    <t>29.25477</t>
  </si>
  <si>
    <t>30.13863</t>
  </si>
  <si>
    <t>30.77958</t>
  </si>
  <si>
    <t>31.67906</t>
  </si>
  <si>
    <t>32.30014</t>
  </si>
  <si>
    <t>33.25604</t>
  </si>
  <si>
    <t>33.91007</t>
  </si>
  <si>
    <t>34.78369</t>
  </si>
  <si>
    <t>35.53488</t>
  </si>
  <si>
    <t>36.5651</t>
  </si>
  <si>
    <t>37.36387</t>
  </si>
  <si>
    <t>37.94722</t>
  </si>
  <si>
    <t>38.79222</t>
  </si>
  <si>
    <t>242.5097</t>
  </si>
  <si>
    <t>242.4969</t>
  </si>
  <si>
    <t>242.4745</t>
  </si>
  <si>
    <t>242.4424</t>
  </si>
  <si>
    <t>242.4007</t>
  </si>
  <si>
    <t>242.3492</t>
  </si>
  <si>
    <t>117.1637</t>
  </si>
  <si>
    <t>115.0912</t>
  </si>
  <si>
    <t>113.0821</t>
  </si>
  <si>
    <t>111.1402</t>
  </si>
  <si>
    <t>109.2695</t>
  </si>
  <si>
    <t>107.474</t>
  </si>
  <si>
    <t>320.2491</t>
  </si>
  <si>
    <t>321.2448</t>
  </si>
  <si>
    <t>322.1241</t>
  </si>
  <si>
    <t>322.9067</t>
  </si>
  <si>
    <t>323.7126</t>
  </si>
  <si>
    <t>324.5525</t>
  </si>
  <si>
    <t>325.4406</t>
  </si>
  <si>
    <t>326.3167</t>
  </si>
  <si>
    <t>327.1719</t>
  </si>
  <si>
    <t>328.0001</t>
  </si>
  <si>
    <t>328.7497</t>
  </si>
  <si>
    <t>329.3978</t>
  </si>
  <si>
    <t>330.0287</t>
  </si>
  <si>
    <t>330.783</t>
  </si>
  <si>
    <t>331.7177</t>
  </si>
  <si>
    <t>332.7506</t>
  </si>
  <si>
    <t>333.7559</t>
  </si>
  <si>
    <t>334.645</t>
  </si>
  <si>
    <t>335.3746</t>
  </si>
  <si>
    <t>335.9412</t>
  </si>
  <si>
    <t>336.4024</t>
  </si>
  <si>
    <t>336.9115</t>
  </si>
  <si>
    <t>337.651</t>
  </si>
  <si>
    <t>338.6409</t>
  </si>
  <si>
    <t>339.7703</t>
  </si>
  <si>
    <t>340.8548</t>
  </si>
  <si>
    <t>341.7477</t>
  </si>
  <si>
    <t>342.3798</t>
  </si>
  <si>
    <t>342.7979</t>
  </si>
  <si>
    <t>343.1273</t>
  </si>
  <si>
    <t>343.5797</t>
  </si>
  <si>
    <t>344.3317</t>
  </si>
  <si>
    <t>345.3931</t>
  </si>
  <si>
    <t>346.6027</t>
  </si>
  <si>
    <t>347.7224</t>
  </si>
  <si>
    <t>348.5701</t>
  </si>
  <si>
    <t>349.0855</t>
  </si>
  <si>
    <t>349.3687</t>
  </si>
  <si>
    <t>349.6258</t>
  </si>
  <si>
    <t>350.1028</t>
  </si>
  <si>
    <t>350.9547</t>
  </si>
  <si>
    <t>352.1209</t>
  </si>
  <si>
    <t>353.3686</t>
  </si>
  <si>
    <t>354.4379</t>
  </si>
  <si>
    <t>355.1378</t>
  </si>
  <si>
    <t>355.491</t>
  </si>
  <si>
    <t>355.67</t>
  </si>
  <si>
    <t>355.9514</t>
  </si>
  <si>
    <t>356.5825</t>
  </si>
  <si>
    <t>357.6178</t>
  </si>
  <si>
    <t>358.8983</t>
  </si>
  <si>
    <t>0.1340096</t>
  </si>
  <si>
    <t>1.031843</t>
  </si>
  <si>
    <t>1.487348</t>
  </si>
  <si>
    <t>1.665881</t>
  </si>
  <si>
    <t>1.85547</t>
  </si>
  <si>
    <t>2.343696</t>
  </si>
  <si>
    <t>3.270023</t>
  </si>
  <si>
    <t>4.529946</t>
  </si>
  <si>
    <t>5.82548</t>
  </si>
  <si>
    <t>6.825945</t>
  </si>
  <si>
    <t>7.354135</t>
  </si>
  <si>
    <t>7.544028</t>
  </si>
  <si>
    <t>7.715869</t>
  </si>
  <si>
    <t>8.182179</t>
  </si>
  <si>
    <t>9.094666</t>
  </si>
  <si>
    <t>10.35423</t>
  </si>
  <si>
    <t>11.65965</t>
  </si>
  <si>
    <t>12.64245</t>
  </si>
  <si>
    <t>13.13022</t>
  </si>
  <si>
    <t>13.30648</t>
  </si>
  <si>
    <t>13.53803</t>
  </si>
  <si>
    <t>14.12601</t>
  </si>
  <si>
    <t>15.14719</t>
  </si>
  <si>
    <t>16.44872</t>
  </si>
  <si>
    <t>17.6787</t>
  </si>
  <si>
    <t>18.4803</t>
  </si>
  <si>
    <t>18.81384</t>
  </si>
  <si>
    <t>19.02146</t>
  </si>
  <si>
    <t>19.4828</t>
  </si>
  <si>
    <t>20.33692</t>
  </si>
  <si>
    <t>21.53249</t>
  </si>
  <si>
    <t>22.80003</t>
  </si>
  <si>
    <t>23.72796</t>
  </si>
  <si>
    <t>24.16871</t>
  </si>
  <si>
    <t>24.46472</t>
  </si>
  <si>
    <t>25.00244</t>
  </si>
  <si>
    <t>25.86213</t>
  </si>
  <si>
    <t>26.99213</t>
  </si>
  <si>
    <t>28.18396</t>
  </si>
  <si>
    <t>29.00235</t>
  </si>
  <si>
    <t>29.43418</t>
  </si>
  <si>
    <t>29.93553</t>
  </si>
  <si>
    <t>30.70685</t>
  </si>
  <si>
    <t>31.62253</t>
  </si>
  <si>
    <t>32.71354</t>
  </si>
  <si>
    <t>33.62295</t>
  </si>
  <si>
    <t>34.1462</t>
  </si>
  <si>
    <t>34.82859</t>
  </si>
  <si>
    <t>35.66822</t>
  </si>
  <si>
    <t>36.41006</t>
  </si>
  <si>
    <t>36.80049</t>
  </si>
  <si>
    <t>36.58504</t>
  </si>
  <si>
    <t>36.41977</t>
  </si>
  <si>
    <t>35.90695</t>
  </si>
  <si>
    <t>35.01038</t>
  </si>
  <si>
    <t>34.07917</t>
  </si>
  <si>
    <t>33.43358</t>
  </si>
  <si>
    <t>33.07043</t>
  </si>
  <si>
    <t>32.6932</t>
  </si>
  <si>
    <t>32.02335</t>
  </si>
  <si>
    <t>31.08287</t>
  </si>
  <si>
    <t>30.14603</t>
  </si>
  <si>
    <t>29.42843</t>
  </si>
  <si>
    <t>28.97467</t>
  </si>
  <si>
    <t>28.50105</t>
  </si>
  <si>
    <t>27.83661</t>
  </si>
  <si>
    <t>26.98783</t>
  </si>
  <si>
    <t>26.08772</t>
  </si>
  <si>
    <t>25.28333</t>
  </si>
  <si>
    <t>24.61747</t>
  </si>
  <si>
    <t>24.05649</t>
  </si>
  <si>
    <t>23.48243</t>
  </si>
  <si>
    <t>22.70217</t>
  </si>
  <si>
    <t>21.79348</t>
  </si>
  <si>
    <t>20.93742</t>
  </si>
  <si>
    <t>20.15373</t>
  </si>
  <si>
    <t>19.45672</t>
  </si>
  <si>
    <t>18.85135</t>
  </si>
  <si>
    <t>18.16065</t>
  </si>
  <si>
    <t>17.33573</t>
  </si>
  <si>
    <t>16.48142</t>
  </si>
  <si>
    <t>15.59696</t>
  </si>
  <si>
    <t>14.76495</t>
  </si>
  <si>
    <t>14.06711</t>
  </si>
  <si>
    <t>13.38146</t>
  </si>
  <si>
    <t>12.61333</t>
  </si>
  <si>
    <t>11.81627</t>
  </si>
  <si>
    <t>10.93607</t>
  </si>
  <si>
    <t>10.02806</t>
  </si>
  <si>
    <t>9.234107</t>
  </si>
  <si>
    <t>8.481338</t>
  </si>
  <si>
    <t>7.735847</t>
  </si>
  <si>
    <t>6.945251</t>
  </si>
  <si>
    <t>6.134908</t>
  </si>
  <si>
    <t>5.271435</t>
  </si>
  <si>
    <t>4.445386</t>
  </si>
  <si>
    <t>3.613582</t>
  </si>
  <si>
    <t>2.803999</t>
  </si>
  <si>
    <t>1.986631</t>
  </si>
  <si>
    <t>1.205745</t>
  </si>
  <si>
    <t>0.3901819</t>
  </si>
  <si>
    <t>359.576</t>
  </si>
  <si>
    <t>358.7169</t>
  </si>
  <si>
    <t>357.8676</t>
  </si>
  <si>
    <t>357.0251</t>
  </si>
  <si>
    <t>356.1774</t>
  </si>
  <si>
    <t>355.3715</t>
  </si>
  <si>
    <t>354.6119</t>
  </si>
  <si>
    <t>353.8448</t>
  </si>
  <si>
    <t>353.0526</t>
  </si>
  <si>
    <t>352.197</t>
  </si>
  <si>
    <t>351.3224</t>
  </si>
  <si>
    <t>350.4559</t>
  </si>
  <si>
    <t>349.6656</t>
  </si>
  <si>
    <t>348.9187</t>
  </si>
  <si>
    <t>348.2097</t>
  </si>
  <si>
    <t>347.4408</t>
  </si>
  <si>
    <t>346.6266</t>
  </si>
  <si>
    <t>345.7707</t>
  </si>
  <si>
    <t>344.947</t>
  </si>
  <si>
    <t>344.1565</t>
  </si>
  <si>
    <t>343.3862</t>
  </si>
  <si>
    <t>342.6306</t>
  </si>
  <si>
    <t>341.8564</t>
  </si>
  <si>
    <t>341.0932</t>
  </si>
  <si>
    <t>340.3311</t>
  </si>
  <si>
    <t>339.5766</t>
  </si>
  <si>
    <t>338.8139</t>
  </si>
  <si>
    <t>338.0644</t>
  </si>
  <si>
    <t>337.3236</t>
  </si>
  <si>
    <t>336.5705</t>
  </si>
  <si>
    <t>335.8124</t>
  </si>
  <si>
    <t>335.0599</t>
  </si>
  <si>
    <t>334.3475</t>
  </si>
  <si>
    <t>333.6718</t>
  </si>
  <si>
    <t>332.9838</t>
  </si>
  <si>
    <t>332.307</t>
  </si>
  <si>
    <t>331.6178</t>
  </si>
  <si>
    <t>330.9329</t>
  </si>
  <si>
    <t>330.2413</t>
  </si>
  <si>
    <t>329.5741</t>
  </si>
  <si>
    <t>328.9041</t>
  </si>
  <si>
    <t>328.2329</t>
  </si>
  <si>
    <t>327.5504</t>
  </si>
  <si>
    <t>326.88</t>
  </si>
  <si>
    <t>326.2397</t>
  </si>
  <si>
    <t>325.61</t>
  </si>
  <si>
    <t>324.9872</t>
  </si>
  <si>
    <t>324.352</t>
  </si>
  <si>
    <t>323.705</t>
  </si>
  <si>
    <t>323.121</t>
  </si>
  <si>
    <t>setpoint height</t>
  </si>
  <si>
    <t>measured height</t>
  </si>
  <si>
    <t>setpoint pitch</t>
  </si>
  <si>
    <t>measured pitch</t>
  </si>
  <si>
    <t>measured roll</t>
  </si>
  <si>
    <t>measured yaw</t>
  </si>
  <si>
    <t>setpoint roll</t>
  </si>
  <si>
    <t>setpoint yaw</t>
  </si>
  <si>
    <t>angle 0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</si>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</sst>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2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Roll Angle</a:t>
            </a:r>
            <a:r>
              <a:rPr lang="fr-FR" baseline="0"/>
              <a:t> comparison between setpoint and measured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Measured Angle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'rollMovement2'!$A$11:$CW$11</c:f>
              <c:numCache>
                <c:formatCode>General</c:formatCode>
                <c:ptCount val="101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</c:numCache>
            </c:numRef>
          </c:cat>
          <c:val>
            <c:numRef>
              <c:f>'rollMovement2'!$A$8:$CW$8</c:f>
              <c:numCache>
                <c:formatCode>General</c:formatCode>
                <c:ptCount val="101"/>
                <c:pt idx="0">
                  <c:v>-36.800490000000003</c:v>
                </c:pt>
                <c:pt idx="1">
                  <c:v>-36.585039999999999</c:v>
                </c:pt>
                <c:pt idx="2">
                  <c:v>-36.41977</c:v>
                </c:pt>
                <c:pt idx="3">
                  <c:v>-35.906950000000002</c:v>
                </c:pt>
                <c:pt idx="4">
                  <c:v>-35.010379999999998</c:v>
                </c:pt>
                <c:pt idx="5">
                  <c:v>-34.079169999999998</c:v>
                </c:pt>
                <c:pt idx="6">
                  <c:v>-33.433579999999999</c:v>
                </c:pt>
                <c:pt idx="7">
                  <c:v>-33.070430000000002</c:v>
                </c:pt>
                <c:pt idx="8">
                  <c:v>-32.693199999999997</c:v>
                </c:pt>
                <c:pt idx="9">
                  <c:v>-32.023350000000001</c:v>
                </c:pt>
                <c:pt idx="10">
                  <c:v>-31.08287</c:v>
                </c:pt>
                <c:pt idx="11">
                  <c:v>-30.14603</c:v>
                </c:pt>
                <c:pt idx="12">
                  <c:v>-29.428429999999999</c:v>
                </c:pt>
                <c:pt idx="13">
                  <c:v>-28.97467</c:v>
                </c:pt>
                <c:pt idx="14">
                  <c:v>-28.501049999999999</c:v>
                </c:pt>
                <c:pt idx="15">
                  <c:v>-27.83661</c:v>
                </c:pt>
                <c:pt idx="16">
                  <c:v>-26.987829999999999</c:v>
                </c:pt>
                <c:pt idx="17">
                  <c:v>-26.087720000000001</c:v>
                </c:pt>
                <c:pt idx="18">
                  <c:v>-25.283329999999999</c:v>
                </c:pt>
                <c:pt idx="19">
                  <c:v>-24.617470000000001</c:v>
                </c:pt>
                <c:pt idx="20">
                  <c:v>-24.05649</c:v>
                </c:pt>
                <c:pt idx="21">
                  <c:v>-23.482430000000001</c:v>
                </c:pt>
                <c:pt idx="22">
                  <c:v>-22.702169999999999</c:v>
                </c:pt>
                <c:pt idx="23">
                  <c:v>-21.793479999999999</c:v>
                </c:pt>
                <c:pt idx="24">
                  <c:v>-20.937419999999999</c:v>
                </c:pt>
                <c:pt idx="25">
                  <c:v>-20.153729999999999</c:v>
                </c:pt>
                <c:pt idx="26">
                  <c:v>-19.456720000000001</c:v>
                </c:pt>
                <c:pt idx="27">
                  <c:v>-18.85135</c:v>
                </c:pt>
                <c:pt idx="28">
                  <c:v>-18.16065</c:v>
                </c:pt>
                <c:pt idx="29">
                  <c:v>-17.335730000000002</c:v>
                </c:pt>
                <c:pt idx="30">
                  <c:v>-16.48142</c:v>
                </c:pt>
                <c:pt idx="31">
                  <c:v>-15.596959999999999</c:v>
                </c:pt>
                <c:pt idx="32">
                  <c:v>-14.764950000000001</c:v>
                </c:pt>
                <c:pt idx="33">
                  <c:v>-14.06711</c:v>
                </c:pt>
                <c:pt idx="34">
                  <c:v>-13.381460000000001</c:v>
                </c:pt>
                <c:pt idx="35">
                  <c:v>-12.613329999999999</c:v>
                </c:pt>
                <c:pt idx="36">
                  <c:v>-11.816269999999999</c:v>
                </c:pt>
                <c:pt idx="37">
                  <c:v>-10.936070000000001</c:v>
                </c:pt>
                <c:pt idx="38">
                  <c:v>-10.02806</c:v>
                </c:pt>
                <c:pt idx="39">
                  <c:v>-9.2341069999999998</c:v>
                </c:pt>
                <c:pt idx="40">
                  <c:v>-8.4813379999999992</c:v>
                </c:pt>
                <c:pt idx="41">
                  <c:v>-7.7358469999999997</c:v>
                </c:pt>
                <c:pt idx="42">
                  <c:v>-6.9452509999999998</c:v>
                </c:pt>
                <c:pt idx="43">
                  <c:v>-6.1349080000000002</c:v>
                </c:pt>
                <c:pt idx="44">
                  <c:v>-5.2714350000000003</c:v>
                </c:pt>
                <c:pt idx="45">
                  <c:v>-4.4453860000000001</c:v>
                </c:pt>
                <c:pt idx="46">
                  <c:v>-3.6135820000000001</c:v>
                </c:pt>
                <c:pt idx="47">
                  <c:v>-2.8039990000000001</c:v>
                </c:pt>
                <c:pt idx="48">
                  <c:v>-1.986631</c:v>
                </c:pt>
                <c:pt idx="49">
                  <c:v>-1.2057450000000001</c:v>
                </c:pt>
                <c:pt idx="50">
                  <c:v>-0.39018190000000003</c:v>
                </c:pt>
                <c:pt idx="51">
                  <c:v>0.42399999999997817</c:v>
                </c:pt>
                <c:pt idx="52">
                  <c:v>1.2830999999999904</c:v>
                </c:pt>
                <c:pt idx="53">
                  <c:v>2.1324000000000183</c:v>
                </c:pt>
                <c:pt idx="54">
                  <c:v>2.974899999999991</c:v>
                </c:pt>
                <c:pt idx="55">
                  <c:v>3.8226000000000226</c:v>
                </c:pt>
                <c:pt idx="56">
                  <c:v>4.6284999999999741</c:v>
                </c:pt>
                <c:pt idx="57">
                  <c:v>5.3881000000000085</c:v>
                </c:pt>
                <c:pt idx="58">
                  <c:v>6.1551999999999794</c:v>
                </c:pt>
                <c:pt idx="59">
                  <c:v>6.947400000000016</c:v>
                </c:pt>
                <c:pt idx="60">
                  <c:v>7.8029999999999973</c:v>
                </c:pt>
                <c:pt idx="61">
                  <c:v>8.677599999999984</c:v>
                </c:pt>
                <c:pt idx="62">
                  <c:v>9.5441000000000145</c:v>
                </c:pt>
                <c:pt idx="63">
                  <c:v>10.334400000000016</c:v>
                </c:pt>
                <c:pt idx="64">
                  <c:v>11.081299999999999</c:v>
                </c:pt>
                <c:pt idx="65">
                  <c:v>11.790300000000002</c:v>
                </c:pt>
                <c:pt idx="66">
                  <c:v>12.559199999999976</c:v>
                </c:pt>
                <c:pt idx="67">
                  <c:v>13.373400000000004</c:v>
                </c:pt>
                <c:pt idx="68">
                  <c:v>14.229300000000023</c:v>
                </c:pt>
                <c:pt idx="69">
                  <c:v>15.052999999999997</c:v>
                </c:pt>
                <c:pt idx="70">
                  <c:v>15.843500000000006</c:v>
                </c:pt>
                <c:pt idx="71">
                  <c:v>16.613800000000026</c:v>
                </c:pt>
                <c:pt idx="72">
                  <c:v>17.369399999999985</c:v>
                </c:pt>
                <c:pt idx="73">
                  <c:v>18.143599999999992</c:v>
                </c:pt>
                <c:pt idx="74">
                  <c:v>18.906799999999976</c:v>
                </c:pt>
                <c:pt idx="75">
                  <c:v>19.668900000000008</c:v>
                </c:pt>
                <c:pt idx="76">
                  <c:v>20.423400000000015</c:v>
                </c:pt>
                <c:pt idx="77">
                  <c:v>21.18610000000001</c:v>
                </c:pt>
                <c:pt idx="78">
                  <c:v>21.935600000000022</c:v>
                </c:pt>
                <c:pt idx="79">
                  <c:v>22.676400000000001</c:v>
                </c:pt>
                <c:pt idx="80">
                  <c:v>23.429500000000019</c:v>
                </c:pt>
                <c:pt idx="81">
                  <c:v>24.187599999999975</c:v>
                </c:pt>
                <c:pt idx="82">
                  <c:v>24.940099999999973</c:v>
                </c:pt>
                <c:pt idx="83">
                  <c:v>25.652499999999975</c:v>
                </c:pt>
                <c:pt idx="84">
                  <c:v>26.328199999999981</c:v>
                </c:pt>
                <c:pt idx="85">
                  <c:v>27.016200000000026</c:v>
                </c:pt>
                <c:pt idx="86">
                  <c:v>27.692999999999984</c:v>
                </c:pt>
                <c:pt idx="87">
                  <c:v>28.382200000000012</c:v>
                </c:pt>
                <c:pt idx="88">
                  <c:v>29.067099999999982</c:v>
                </c:pt>
                <c:pt idx="89">
                  <c:v>29.758699999999976</c:v>
                </c:pt>
                <c:pt idx="90">
                  <c:v>30.425900000000013</c:v>
                </c:pt>
                <c:pt idx="91">
                  <c:v>31.095899999999972</c:v>
                </c:pt>
                <c:pt idx="92">
                  <c:v>31.767100000000028</c:v>
                </c:pt>
                <c:pt idx="93">
                  <c:v>32.449599999999975</c:v>
                </c:pt>
                <c:pt idx="94">
                  <c:v>33.120000000000005</c:v>
                </c:pt>
                <c:pt idx="95">
                  <c:v>33.760299999999972</c:v>
                </c:pt>
                <c:pt idx="96">
                  <c:v>34.389999999999986</c:v>
                </c:pt>
                <c:pt idx="97">
                  <c:v>35.012800000000027</c:v>
                </c:pt>
                <c:pt idx="98">
                  <c:v>35.648000000000025</c:v>
                </c:pt>
                <c:pt idx="99">
                  <c:v>36.295000000000016</c:v>
                </c:pt>
                <c:pt idx="100">
                  <c:v>36.879000000000019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9-45CA-9B78-D6BE482822CA}"/>
            </c:ext>
          </c:extLst>
        </c:ser>
        <c:ser>
          <c:idx val="1"/>
          <c:order val="1"/>
          <c:tx>
            <c:v>Setpoint Angle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'rollMovement2'!$A$11:$CW$11</c:f>
              <c:numCache>
                <c:formatCode>General</c:formatCode>
                <c:ptCount val="101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</c:numCache>
            </c:numRef>
          </c:cat>
          <c:val>
            <c:numRef>
              <c:f>'rollMovement2'!$A$9:$CW$9</c:f>
              <c:numCache>
                <c:formatCode>General</c:formatCode>
                <c:ptCount val="101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9-45CA-9B78-D6BE48282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893967"/>
        <c:axId val="1925012607"/>
      </c:lineChart>
      <c:catAx>
        <c:axId val="85889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Duration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5012607"/>
        <c:crosses val="autoZero"/>
        <c:auto val="1"/>
        <c:lblAlgn val="ctr"/>
        <c:lblOffset val="100"/>
        <c:noMultiLvlLbl val="0"/>
      </c:catAx>
      <c:valAx>
        <c:axId val="19250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for roll (°)</a:t>
                </a:r>
              </a:p>
            </c:rich>
          </c:tx>
          <c:layout>
            <c:manualLayout>
              <c:xMode val="edge"/>
              <c:yMode val="edge"/>
              <c:x val="1.5522222222222222E-2"/>
              <c:y val="0.36953667249927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889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Pitch Angle comparison between setpoint and measured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Simulated Angle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pitchMovement2!$A$11:$CW$11</c:f>
              <c:numCache>
                <c:formatCode>General</c:formatCode>
                <c:ptCount val="101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</c:numCache>
            </c:numRef>
          </c:cat>
          <c:val>
            <c:numRef>
              <c:f>pitchMovement2!$A$8:$CW$8</c:f>
              <c:numCache>
                <c:formatCode>General</c:formatCode>
                <c:ptCount val="101"/>
                <c:pt idx="0">
                  <c:v>-39.750900000000001</c:v>
                </c:pt>
                <c:pt idx="1">
                  <c:v>-38.755200000000002</c:v>
                </c:pt>
                <c:pt idx="2">
                  <c:v>-37.875900000000001</c:v>
                </c:pt>
                <c:pt idx="3">
                  <c:v>-37.093299999999999</c:v>
                </c:pt>
                <c:pt idx="4">
                  <c:v>-36.287399999999991</c:v>
                </c:pt>
                <c:pt idx="5">
                  <c:v>-35.447499999999991</c:v>
                </c:pt>
                <c:pt idx="6">
                  <c:v>-34.559399999999982</c:v>
                </c:pt>
                <c:pt idx="7">
                  <c:v>-33.683299999999974</c:v>
                </c:pt>
                <c:pt idx="8">
                  <c:v>-32.828100000000006</c:v>
                </c:pt>
                <c:pt idx="9">
                  <c:v>-31.999900000000025</c:v>
                </c:pt>
                <c:pt idx="10">
                  <c:v>-31.250299999999982</c:v>
                </c:pt>
                <c:pt idx="11">
                  <c:v>-30.602199999999982</c:v>
                </c:pt>
                <c:pt idx="12">
                  <c:v>-29.971299999999985</c:v>
                </c:pt>
                <c:pt idx="13">
                  <c:v>-29.216999999999985</c:v>
                </c:pt>
                <c:pt idx="14">
                  <c:v>-28.282300000000021</c:v>
                </c:pt>
                <c:pt idx="15">
                  <c:v>-27.24939999999998</c:v>
                </c:pt>
                <c:pt idx="16">
                  <c:v>-26.244100000000003</c:v>
                </c:pt>
                <c:pt idx="17">
                  <c:v>-25.355000000000018</c:v>
                </c:pt>
                <c:pt idx="18">
                  <c:v>-24.625400000000013</c:v>
                </c:pt>
                <c:pt idx="19">
                  <c:v>-24.058800000000019</c:v>
                </c:pt>
                <c:pt idx="20">
                  <c:v>-23.5976</c:v>
                </c:pt>
                <c:pt idx="21">
                  <c:v>-23.08850000000001</c:v>
                </c:pt>
                <c:pt idx="22">
                  <c:v>-22.34899999999999</c:v>
                </c:pt>
                <c:pt idx="23">
                  <c:v>-21.359100000000012</c:v>
                </c:pt>
                <c:pt idx="24">
                  <c:v>-20.22969999999998</c:v>
                </c:pt>
                <c:pt idx="25">
                  <c:v>-19.145199999999988</c:v>
                </c:pt>
                <c:pt idx="26">
                  <c:v>-18.252299999999991</c:v>
                </c:pt>
                <c:pt idx="27">
                  <c:v>-17.620200000000011</c:v>
                </c:pt>
                <c:pt idx="28">
                  <c:v>-17.202099999999973</c:v>
                </c:pt>
                <c:pt idx="29">
                  <c:v>-16.872700000000009</c:v>
                </c:pt>
                <c:pt idx="30">
                  <c:v>-16.420299999999997</c:v>
                </c:pt>
                <c:pt idx="31">
                  <c:v>-15.668299999999988</c:v>
                </c:pt>
                <c:pt idx="32">
                  <c:v>-14.606899999999996</c:v>
                </c:pt>
                <c:pt idx="33">
                  <c:v>-13.397299999999973</c:v>
                </c:pt>
                <c:pt idx="34">
                  <c:v>-12.277600000000007</c:v>
                </c:pt>
                <c:pt idx="35">
                  <c:v>-11.429899999999975</c:v>
                </c:pt>
                <c:pt idx="36">
                  <c:v>-10.914499999999975</c:v>
                </c:pt>
                <c:pt idx="37">
                  <c:v>-10.63130000000001</c:v>
                </c:pt>
                <c:pt idx="38">
                  <c:v>-10.374199999999973</c:v>
                </c:pt>
                <c:pt idx="39">
                  <c:v>-9.897199999999998</c:v>
                </c:pt>
                <c:pt idx="40">
                  <c:v>-9.0452999999999975</c:v>
                </c:pt>
                <c:pt idx="41">
                  <c:v>-7.879099999999994</c:v>
                </c:pt>
                <c:pt idx="42">
                  <c:v>-6.6313999999999851</c:v>
                </c:pt>
                <c:pt idx="43">
                  <c:v>-5.5620999999999867</c:v>
                </c:pt>
                <c:pt idx="44">
                  <c:v>-4.862199999999973</c:v>
                </c:pt>
                <c:pt idx="45">
                  <c:v>-4.5090000000000146</c:v>
                </c:pt>
                <c:pt idx="46">
                  <c:v>-4.3299999999999841</c:v>
                </c:pt>
                <c:pt idx="47">
                  <c:v>-4.0486000000000217</c:v>
                </c:pt>
                <c:pt idx="48">
                  <c:v>-3.4175000000000182</c:v>
                </c:pt>
                <c:pt idx="49">
                  <c:v>-2.3822000000000116</c:v>
                </c:pt>
                <c:pt idx="50">
                  <c:v>-1.1016999999999939</c:v>
                </c:pt>
                <c:pt idx="51">
                  <c:v>0.13400960000000001</c:v>
                </c:pt>
                <c:pt idx="52">
                  <c:v>1.0318430000000001</c:v>
                </c:pt>
                <c:pt idx="53">
                  <c:v>1.4873479999999999</c:v>
                </c:pt>
                <c:pt idx="54">
                  <c:v>1.6658809999999999</c:v>
                </c:pt>
                <c:pt idx="55">
                  <c:v>1.85547</c:v>
                </c:pt>
                <c:pt idx="56">
                  <c:v>2.343696</c:v>
                </c:pt>
                <c:pt idx="57">
                  <c:v>3.2700230000000001</c:v>
                </c:pt>
                <c:pt idx="58">
                  <c:v>4.5299459999999998</c:v>
                </c:pt>
                <c:pt idx="59">
                  <c:v>5.8254799999999998</c:v>
                </c:pt>
                <c:pt idx="60">
                  <c:v>6.8259449999999999</c:v>
                </c:pt>
                <c:pt idx="61">
                  <c:v>7.3541350000000003</c:v>
                </c:pt>
                <c:pt idx="62">
                  <c:v>7.544028</c:v>
                </c:pt>
                <c:pt idx="63">
                  <c:v>7.7158689999999996</c:v>
                </c:pt>
                <c:pt idx="64">
                  <c:v>8.1821789999999996</c:v>
                </c:pt>
                <c:pt idx="65">
                  <c:v>9.0946660000000001</c:v>
                </c:pt>
                <c:pt idx="66">
                  <c:v>10.354229999999999</c:v>
                </c:pt>
                <c:pt idx="67">
                  <c:v>11.659649999999999</c:v>
                </c:pt>
                <c:pt idx="68">
                  <c:v>12.64245</c:v>
                </c:pt>
                <c:pt idx="69">
                  <c:v>13.13022</c:v>
                </c:pt>
                <c:pt idx="70">
                  <c:v>13.306480000000001</c:v>
                </c:pt>
                <c:pt idx="71">
                  <c:v>13.538029999999999</c:v>
                </c:pt>
                <c:pt idx="72">
                  <c:v>14.126010000000001</c:v>
                </c:pt>
                <c:pt idx="73">
                  <c:v>15.14719</c:v>
                </c:pt>
                <c:pt idx="74">
                  <c:v>16.448720000000002</c:v>
                </c:pt>
                <c:pt idx="75">
                  <c:v>17.678699999999999</c:v>
                </c:pt>
                <c:pt idx="76">
                  <c:v>18.4803</c:v>
                </c:pt>
                <c:pt idx="77">
                  <c:v>18.813839999999999</c:v>
                </c:pt>
                <c:pt idx="78">
                  <c:v>19.021460000000001</c:v>
                </c:pt>
                <c:pt idx="79">
                  <c:v>19.482800000000001</c:v>
                </c:pt>
                <c:pt idx="80">
                  <c:v>20.336919999999999</c:v>
                </c:pt>
                <c:pt idx="81">
                  <c:v>21.532489999999999</c:v>
                </c:pt>
                <c:pt idx="82">
                  <c:v>22.80003</c:v>
                </c:pt>
                <c:pt idx="83">
                  <c:v>23.727959999999999</c:v>
                </c:pt>
                <c:pt idx="84">
                  <c:v>24.168710000000001</c:v>
                </c:pt>
                <c:pt idx="85">
                  <c:v>24.46472</c:v>
                </c:pt>
                <c:pt idx="86">
                  <c:v>25.00244</c:v>
                </c:pt>
                <c:pt idx="87">
                  <c:v>25.862130000000001</c:v>
                </c:pt>
                <c:pt idx="88">
                  <c:v>26.99213</c:v>
                </c:pt>
                <c:pt idx="89">
                  <c:v>28.183959999999999</c:v>
                </c:pt>
                <c:pt idx="90">
                  <c:v>29.00235</c:v>
                </c:pt>
                <c:pt idx="91">
                  <c:v>29.434180000000001</c:v>
                </c:pt>
                <c:pt idx="92">
                  <c:v>29.93553</c:v>
                </c:pt>
                <c:pt idx="93">
                  <c:v>30.706849999999999</c:v>
                </c:pt>
                <c:pt idx="94">
                  <c:v>31.622530000000001</c:v>
                </c:pt>
                <c:pt idx="95">
                  <c:v>32.713540000000002</c:v>
                </c:pt>
                <c:pt idx="96">
                  <c:v>33.622950000000003</c:v>
                </c:pt>
                <c:pt idx="97">
                  <c:v>34.1462</c:v>
                </c:pt>
                <c:pt idx="98">
                  <c:v>34.828589999999998</c:v>
                </c:pt>
                <c:pt idx="99">
                  <c:v>35.668219999999998</c:v>
                </c:pt>
                <c:pt idx="100">
                  <c:v>36.410060000000001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D-49FE-BA2D-1B38E47C3714}"/>
            </c:ext>
          </c:extLst>
        </c:ser>
        <c:ser>
          <c:idx val="1"/>
          <c:order val="1"/>
          <c:tx>
            <c:v>Setpoint Angle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pitchMovement2!$A$11:$CW$11</c:f>
              <c:numCache>
                <c:formatCode>General</c:formatCode>
                <c:ptCount val="101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</c:numCache>
            </c:numRef>
          </c:cat>
          <c:val>
            <c:numRef>
              <c:f>pitchMovement2!$A$9:$CW$9</c:f>
              <c:numCache>
                <c:formatCode>General</c:formatCode>
                <c:ptCount val="101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D-49FE-BA2D-1B38E47C3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09455"/>
        <c:axId val="864009935"/>
      </c:lineChart>
      <c:catAx>
        <c:axId val="86400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Duration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009935"/>
        <c:crosses val="autoZero"/>
        <c:auto val="1"/>
        <c:lblAlgn val="ctr"/>
        <c:lblOffset val="100"/>
        <c:noMultiLvlLbl val="0"/>
      </c:catAx>
      <c:valAx>
        <c:axId val="8640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for pitch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00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height between setpoint and real measured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reallifemeasures!$A$2</c:f>
              <c:strCache>
                <c:ptCount val="1"/>
                <c:pt idx="0">
                  <c:v>setpoint height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reallifemeasures!$B$2:$K$2</c:f>
              <c:numCache>
                <c:formatCode>General</c:formatCode>
                <c:ptCount val="1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87-4AF6-86AC-1761E0DC7715}"/>
            </c:ext>
          </c:extLst>
        </c:ser>
        <c:ser>
          <c:idx val="1"/>
          <c:order val="1"/>
          <c:tx>
            <c:strRef>
              <c:f>reallifemeasures!$A$3</c:f>
              <c:strCache>
                <c:ptCount val="1"/>
                <c:pt idx="0">
                  <c:v>measured height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val>
            <c:numRef>
              <c:f>reallifemeasures!$B$3:$K$3</c:f>
              <c:numCache>
                <c:formatCode>General</c:formatCode>
                <c:ptCount val="10"/>
                <c:pt idx="0">
                  <c:v>0</c:v>
                </c:pt>
                <c:pt idx="1">
                  <c:v>15</c:v>
                </c:pt>
                <c:pt idx="2">
                  <c:v>28</c:v>
                </c:pt>
                <c:pt idx="3">
                  <c:v>52</c:v>
                </c:pt>
                <c:pt idx="4">
                  <c:v>79</c:v>
                </c:pt>
                <c:pt idx="5">
                  <c:v>101</c:v>
                </c:pt>
                <c:pt idx="6">
                  <c:v>129</c:v>
                </c:pt>
                <c:pt idx="7">
                  <c:v>152</c:v>
                </c:pt>
                <c:pt idx="8">
                  <c:v>179</c:v>
                </c:pt>
                <c:pt idx="9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87-4AF6-86AC-1761E0DC7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487455"/>
        <c:axId val="341488415"/>
      </c:lineChart>
      <c:catAx>
        <c:axId val="341487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341488415"/>
        <c:crosses val="autoZero"/>
        <c:auto val="1"/>
        <c:lblAlgn val="ctr"/>
        <c:lblOffset val="100"/>
        <c:noMultiLvlLbl val="0"/>
      </c:catAx>
      <c:valAx>
        <c:axId val="3414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height</a:t>
                </a:r>
                <a:r>
                  <a:rPr lang="fr-FR" baseline="0"/>
                  <a:t>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148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Angle measured for height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reallifemeasures!$A$5</c:f>
              <c:strCache>
                <c:ptCount val="1"/>
                <c:pt idx="0">
                  <c:v>angle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reallifemeasures!$B$2:$K$2</c:f>
              <c:numCache>
                <c:formatCode>General</c:formatCode>
                <c:ptCount val="1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</c:numCache>
            </c:numRef>
          </c:cat>
          <c:val>
            <c:numRef>
              <c:f>reallifemeasures!$B$5:$K$5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0-4C2D-8246-D6DF333F5D4E}"/>
            </c:ext>
          </c:extLst>
        </c:ser>
        <c:ser>
          <c:idx val="1"/>
          <c:order val="1"/>
          <c:tx>
            <c:strRef>
              <c:f>reallifemeasures!$A$6</c:f>
              <c:strCache>
                <c:ptCount val="1"/>
                <c:pt idx="0">
                  <c:v>measured pitch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reallifemeasures!$B$2:$K$2</c:f>
              <c:numCache>
                <c:formatCode>General</c:formatCode>
                <c:ptCount val="1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</c:numCache>
            </c:numRef>
          </c:cat>
          <c:val>
            <c:numRef>
              <c:f>reallifemeasures!$B$6:$K$6</c:f>
              <c:numCache>
                <c:formatCode>General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-0.5</c:v>
                </c:pt>
                <c:pt idx="3">
                  <c:v>-0.5</c:v>
                </c:pt>
                <c:pt idx="4">
                  <c:v>-0.8</c:v>
                </c:pt>
                <c:pt idx="5">
                  <c:v>-1.1000000000000001</c:v>
                </c:pt>
                <c:pt idx="6">
                  <c:v>-0.9</c:v>
                </c:pt>
                <c:pt idx="7">
                  <c:v>-1.4</c:v>
                </c:pt>
                <c:pt idx="8">
                  <c:v>-1.4</c:v>
                </c:pt>
                <c:pt idx="9">
                  <c:v>-1.5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0-4C2D-8246-D6DF333F5D4E}"/>
            </c:ext>
          </c:extLst>
        </c:ser>
        <c:ser>
          <c:idx val="2"/>
          <c:order val="2"/>
          <c:tx>
            <c:strRef>
              <c:f>reallifemeasures!$A$7</c:f>
              <c:strCache>
                <c:ptCount val="1"/>
                <c:pt idx="0">
                  <c:v>measured roll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reallifemeasures!$B$2:$K$2</c:f>
              <c:numCache>
                <c:formatCode>General</c:formatCode>
                <c:ptCount val="1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</c:numCache>
            </c:numRef>
          </c:cat>
          <c:val>
            <c:numRef>
              <c:f>reallifemeasures!$B$7:$K$7</c:f>
              <c:numCache>
                <c:formatCode>General</c:formatCode>
                <c:ptCount val="10"/>
                <c:pt idx="0">
                  <c:v>1.6</c:v>
                </c:pt>
                <c:pt idx="1">
                  <c:v>2</c:v>
                </c:pt>
                <c:pt idx="2">
                  <c:v>1.6</c:v>
                </c:pt>
                <c:pt idx="3">
                  <c:v>0.1</c:v>
                </c:pt>
                <c:pt idx="4">
                  <c:v>-0.2</c:v>
                </c:pt>
                <c:pt idx="5">
                  <c:v>-1.2</c:v>
                </c:pt>
                <c:pt idx="6">
                  <c:v>-1.2</c:v>
                </c:pt>
                <c:pt idx="7">
                  <c:v>-1.7</c:v>
                </c:pt>
                <c:pt idx="8">
                  <c:v>-1.3</c:v>
                </c:pt>
                <c:pt idx="9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0-4C2D-8246-D6DF333F5D4E}"/>
            </c:ext>
          </c:extLst>
        </c:ser>
        <c:ser>
          <c:idx val="3"/>
          <c:order val="3"/>
          <c:tx>
            <c:strRef>
              <c:f>reallifemeasures!$A$8</c:f>
              <c:strCache>
                <c:ptCount val="1"/>
                <c:pt idx="0">
                  <c:v>measured yaw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reallifemeasures!$B$2:$K$2</c:f>
              <c:numCache>
                <c:formatCode>General</c:formatCode>
                <c:ptCount val="1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</c:numCache>
            </c:numRef>
          </c:cat>
          <c:val>
            <c:numRef>
              <c:f>reallifemeasures!$B$8:$K$8</c:f>
              <c:numCache>
                <c:formatCode>General</c:formatCode>
                <c:ptCount val="10"/>
                <c:pt idx="0">
                  <c:v>0.3</c:v>
                </c:pt>
                <c:pt idx="1">
                  <c:v>0.4</c:v>
                </c:pt>
                <c:pt idx="2">
                  <c:v>0.2</c:v>
                </c:pt>
                <c:pt idx="3">
                  <c:v>0.6</c:v>
                </c:pt>
                <c:pt idx="4">
                  <c:v>0.4</c:v>
                </c:pt>
                <c:pt idx="5">
                  <c:v>0.2</c:v>
                </c:pt>
                <c:pt idx="6">
                  <c:v>0.4</c:v>
                </c:pt>
                <c:pt idx="7">
                  <c:v>0.3</c:v>
                </c:pt>
                <c:pt idx="8">
                  <c:v>0.1</c:v>
                </c:pt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A0-4C2D-8246-D6DF333F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51759"/>
        <c:axId val="598841679"/>
      </c:lineChart>
      <c:catAx>
        <c:axId val="598851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841679"/>
        <c:crosses val="autoZero"/>
        <c:auto val="1"/>
        <c:lblAlgn val="ctr"/>
        <c:lblOffset val="100"/>
        <c:noMultiLvlLbl val="0"/>
      </c:catAx>
      <c:valAx>
        <c:axId val="59884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85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Angle</a:t>
            </a:r>
            <a:r>
              <a:rPr lang="fr-FR" baseline="0"/>
              <a:t> measured for pitch angle variation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reallifemeasures!$A$10</c:f>
              <c:strCache>
                <c:ptCount val="1"/>
                <c:pt idx="0">
                  <c:v>angle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reallifemeasures!$B$11:$J$11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reallifemeasures!$B$10:$J$10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4-475F-8D79-22ABDCD41D82}"/>
            </c:ext>
          </c:extLst>
        </c:ser>
        <c:ser>
          <c:idx val="1"/>
          <c:order val="1"/>
          <c:tx>
            <c:strRef>
              <c:f>reallifemeasures!$A$11</c:f>
              <c:strCache>
                <c:ptCount val="1"/>
                <c:pt idx="0">
                  <c:v>setpoint pitch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reallifemeasures!$B$11:$J$11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reallifemeasures!$B$11:$J$11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4-475F-8D79-22ABDCD41D82}"/>
            </c:ext>
          </c:extLst>
        </c:ser>
        <c:ser>
          <c:idx val="2"/>
          <c:order val="2"/>
          <c:tx>
            <c:strRef>
              <c:f>reallifemeasures!$A$12</c:f>
              <c:strCache>
                <c:ptCount val="1"/>
                <c:pt idx="0">
                  <c:v>measured pitch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reallifemeasures!$B$11:$J$11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reallifemeasures!$B$12:$J$12</c:f>
              <c:numCache>
                <c:formatCode>General</c:formatCode>
                <c:ptCount val="9"/>
                <c:pt idx="0">
                  <c:v>-20.9</c:v>
                </c:pt>
                <c:pt idx="1">
                  <c:v>-16</c:v>
                </c:pt>
                <c:pt idx="2">
                  <c:v>-10.9</c:v>
                </c:pt>
                <c:pt idx="3">
                  <c:v>-6</c:v>
                </c:pt>
                <c:pt idx="4">
                  <c:v>-1.2</c:v>
                </c:pt>
                <c:pt idx="5">
                  <c:v>3.4</c:v>
                </c:pt>
                <c:pt idx="6">
                  <c:v>8.3000000000000007</c:v>
                </c:pt>
                <c:pt idx="7">
                  <c:v>13.1</c:v>
                </c:pt>
                <c:pt idx="8">
                  <c:v>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4-475F-8D79-22ABDCD41D82}"/>
            </c:ext>
          </c:extLst>
        </c:ser>
        <c:ser>
          <c:idx val="3"/>
          <c:order val="3"/>
          <c:tx>
            <c:strRef>
              <c:f>reallifemeasures!$A$13</c:f>
              <c:strCache>
                <c:ptCount val="1"/>
                <c:pt idx="0">
                  <c:v>measured roll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reallifemeasures!$B$11:$J$11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reallifemeasures!$B$13:$J$13</c:f>
              <c:numCache>
                <c:formatCode>General</c:formatCode>
                <c:ptCount val="9"/>
                <c:pt idx="0">
                  <c:v>-2.5</c:v>
                </c:pt>
                <c:pt idx="1">
                  <c:v>-2.7</c:v>
                </c:pt>
                <c:pt idx="2">
                  <c:v>-2.7</c:v>
                </c:pt>
                <c:pt idx="3">
                  <c:v>-2.8</c:v>
                </c:pt>
                <c:pt idx="4">
                  <c:v>-2.8</c:v>
                </c:pt>
                <c:pt idx="5">
                  <c:v>-2.8</c:v>
                </c:pt>
                <c:pt idx="6">
                  <c:v>-2.5</c:v>
                </c:pt>
                <c:pt idx="7">
                  <c:v>-1.6</c:v>
                </c:pt>
                <c:pt idx="8">
                  <c:v>-0.7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74-475F-8D79-22ABDCD41D82}"/>
            </c:ext>
          </c:extLst>
        </c:ser>
        <c:ser>
          <c:idx val="4"/>
          <c:order val="4"/>
          <c:tx>
            <c:strRef>
              <c:f>reallifemeasures!$A$14</c:f>
              <c:strCache>
                <c:ptCount val="1"/>
                <c:pt idx="0">
                  <c:v>measured yaw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reallifemeasures!$B$11:$J$11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reallifemeasures!$B$14:$J$14</c:f>
              <c:numCache>
                <c:formatCode>General</c:formatCode>
                <c:ptCount val="9"/>
                <c:pt idx="0">
                  <c:v>-1.5</c:v>
                </c:pt>
                <c:pt idx="1">
                  <c:v>-0.9</c:v>
                </c:pt>
                <c:pt idx="2">
                  <c:v>-0.1</c:v>
                </c:pt>
                <c:pt idx="3">
                  <c:v>0</c:v>
                </c:pt>
                <c:pt idx="4">
                  <c:v>0.2</c:v>
                </c:pt>
                <c:pt idx="5">
                  <c:v>0.3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74-475F-8D79-22ABDCD4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75279"/>
        <c:axId val="598879119"/>
      </c:lineChart>
      <c:catAx>
        <c:axId val="59887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setpoint pitch</a:t>
                </a:r>
                <a:r>
                  <a:rPr lang="fr-FR" baseline="0"/>
                  <a:t> angle (°)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879119"/>
        <c:crosses val="autoZero"/>
        <c:auto val="1"/>
        <c:lblAlgn val="ctr"/>
        <c:lblOffset val="100"/>
        <c:noMultiLvlLbl val="0"/>
      </c:catAx>
      <c:valAx>
        <c:axId val="59887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87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Angle measured for roll angle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reallifemeasures!$A$16</c:f>
              <c:strCache>
                <c:ptCount val="1"/>
                <c:pt idx="0">
                  <c:v>angle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reallifemeasures!$B$17:$J$17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reallifemeasures!$B$16:$J$16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D-4979-9BA8-3FF6E7A7B017}"/>
            </c:ext>
          </c:extLst>
        </c:ser>
        <c:ser>
          <c:idx val="1"/>
          <c:order val="1"/>
          <c:tx>
            <c:strRef>
              <c:f>reallifemeasures!$A$17</c:f>
              <c:strCache>
                <c:ptCount val="1"/>
                <c:pt idx="0">
                  <c:v>setpoint roll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reallifemeasures!$B$17:$J$17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reallifemeasures!$B$17:$J$17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AD-4979-9BA8-3FF6E7A7B017}"/>
            </c:ext>
          </c:extLst>
        </c:ser>
        <c:ser>
          <c:idx val="2"/>
          <c:order val="2"/>
          <c:tx>
            <c:strRef>
              <c:f>reallifemeasures!$A$18</c:f>
              <c:strCache>
                <c:ptCount val="1"/>
                <c:pt idx="0">
                  <c:v>measured pitch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reallifemeasures!$B$17:$J$17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reallifemeasures!$B$18:$J$18</c:f>
              <c:numCache>
                <c:formatCode>General</c:formatCode>
                <c:ptCount val="9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AD-4979-9BA8-3FF6E7A7B017}"/>
            </c:ext>
          </c:extLst>
        </c:ser>
        <c:ser>
          <c:idx val="3"/>
          <c:order val="3"/>
          <c:tx>
            <c:strRef>
              <c:f>reallifemeasures!$A$19</c:f>
              <c:strCache>
                <c:ptCount val="1"/>
                <c:pt idx="0">
                  <c:v>measured roll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reallifemeasures!$B$17:$J$17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reallifemeasures!$B$19:$J$19</c:f>
              <c:numCache>
                <c:formatCode>General</c:formatCode>
                <c:ptCount val="9"/>
                <c:pt idx="0">
                  <c:v>-26.8</c:v>
                </c:pt>
                <c:pt idx="1">
                  <c:v>-21.2</c:v>
                </c:pt>
                <c:pt idx="2">
                  <c:v>-15.1</c:v>
                </c:pt>
                <c:pt idx="3">
                  <c:v>-8.8000000000000007</c:v>
                </c:pt>
                <c:pt idx="4">
                  <c:v>-2.4</c:v>
                </c:pt>
                <c:pt idx="5">
                  <c:v>3.2</c:v>
                </c:pt>
                <c:pt idx="6">
                  <c:v>9.4</c:v>
                </c:pt>
                <c:pt idx="7">
                  <c:v>15.5</c:v>
                </c:pt>
                <c:pt idx="8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AD-4979-9BA8-3FF6E7A7B017}"/>
            </c:ext>
          </c:extLst>
        </c:ser>
        <c:ser>
          <c:idx val="4"/>
          <c:order val="4"/>
          <c:tx>
            <c:strRef>
              <c:f>reallifemeasures!$A$20</c:f>
              <c:strCache>
                <c:ptCount val="1"/>
                <c:pt idx="0">
                  <c:v>measured yaw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reallifemeasures!$B$17:$J$17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reallifemeasures!$B$20:$J$20</c:f>
              <c:numCache>
                <c:formatCode>General</c:formatCode>
                <c:ptCount val="9"/>
                <c:pt idx="0">
                  <c:v>1.8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0.4</c:v>
                </c:pt>
                <c:pt idx="5">
                  <c:v>-0.4</c:v>
                </c:pt>
                <c:pt idx="6">
                  <c:v>-1.3</c:v>
                </c:pt>
                <c:pt idx="7">
                  <c:v>-1.5</c:v>
                </c:pt>
                <c:pt idx="8">
                  <c:v>-1.9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AD-4979-9BA8-3FF6E7A7B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909839"/>
        <c:axId val="598900719"/>
      </c:lineChart>
      <c:catAx>
        <c:axId val="59890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setpoint roll 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900719"/>
        <c:crosses val="autoZero"/>
        <c:auto val="1"/>
        <c:lblAlgn val="ctr"/>
        <c:lblOffset val="100"/>
        <c:noMultiLvlLbl val="0"/>
      </c:catAx>
      <c:valAx>
        <c:axId val="5989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9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Angle measured for yaw angle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reallifemeasures!$A$22</c:f>
              <c:strCache>
                <c:ptCount val="1"/>
                <c:pt idx="0">
                  <c:v>angle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reallifemeasures!$B$23:$J$23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reallifemeasures!$B$22:$J$22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B-4BE4-B452-B24F59AB2CC4}"/>
            </c:ext>
          </c:extLst>
        </c:ser>
        <c:ser>
          <c:idx val="1"/>
          <c:order val="1"/>
          <c:tx>
            <c:strRef>
              <c:f>reallifemeasures!$A$23</c:f>
              <c:strCache>
                <c:ptCount val="1"/>
                <c:pt idx="0">
                  <c:v>setpoint yaw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reallifemeasures!$B$23:$J$23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reallifemeasures!$B$23:$J$23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B-4BE4-B452-B24F59AB2CC4}"/>
            </c:ext>
          </c:extLst>
        </c:ser>
        <c:ser>
          <c:idx val="2"/>
          <c:order val="2"/>
          <c:tx>
            <c:strRef>
              <c:f>reallifemeasures!$A$24</c:f>
              <c:strCache>
                <c:ptCount val="1"/>
                <c:pt idx="0">
                  <c:v>measured pitch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reallifemeasures!$B$23:$J$23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reallifemeasures!$B$24:$J$24</c:f>
              <c:numCache>
                <c:formatCode>General</c:formatCode>
                <c:ptCount val="9"/>
                <c:pt idx="0">
                  <c:v>0.3</c:v>
                </c:pt>
                <c:pt idx="1">
                  <c:v>0.7</c:v>
                </c:pt>
                <c:pt idx="2">
                  <c:v>0.8</c:v>
                </c:pt>
                <c:pt idx="3">
                  <c:v>1</c:v>
                </c:pt>
                <c:pt idx="4">
                  <c:v>1.1000000000000001</c:v>
                </c:pt>
                <c:pt idx="5">
                  <c:v>0.8</c:v>
                </c:pt>
                <c:pt idx="6">
                  <c:v>0.5</c:v>
                </c:pt>
                <c:pt idx="7">
                  <c:v>0.9</c:v>
                </c:pt>
                <c:pt idx="8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7B-4BE4-B452-B24F59AB2CC4}"/>
            </c:ext>
          </c:extLst>
        </c:ser>
        <c:ser>
          <c:idx val="3"/>
          <c:order val="3"/>
          <c:tx>
            <c:strRef>
              <c:f>reallifemeasures!$A$25</c:f>
              <c:strCache>
                <c:ptCount val="1"/>
                <c:pt idx="0">
                  <c:v>measured roll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reallifemeasures!$B$23:$J$23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reallifemeasures!$B$25:$J$25</c:f>
              <c:numCache>
                <c:formatCode>General</c:formatCode>
                <c:ptCount val="9"/>
                <c:pt idx="0">
                  <c:v>0.6</c:v>
                </c:pt>
                <c:pt idx="1">
                  <c:v>0.7</c:v>
                </c:pt>
                <c:pt idx="2">
                  <c:v>0.3</c:v>
                </c:pt>
                <c:pt idx="3">
                  <c:v>-0.8</c:v>
                </c:pt>
                <c:pt idx="4">
                  <c:v>-2.5</c:v>
                </c:pt>
                <c:pt idx="5">
                  <c:v>-1.3</c:v>
                </c:pt>
                <c:pt idx="6">
                  <c:v>-1.2</c:v>
                </c:pt>
                <c:pt idx="7">
                  <c:v>-2</c:v>
                </c:pt>
                <c:pt idx="8">
                  <c:v>-2.2999999999999998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7B-4BE4-B452-B24F59AB2CC4}"/>
            </c:ext>
          </c:extLst>
        </c:ser>
        <c:ser>
          <c:idx val="4"/>
          <c:order val="4"/>
          <c:tx>
            <c:strRef>
              <c:f>reallifemeasures!$A$26</c:f>
              <c:strCache>
                <c:ptCount val="1"/>
                <c:pt idx="0">
                  <c:v>measured yaw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reallifemeasures!$B$23:$J$23</c:f>
              <c:numCache>
                <c:formatCode>General</c:formatCode>
                <c:ptCount val="9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</c:numCache>
            </c:numRef>
          </c:cat>
          <c:val>
            <c:numRef>
              <c:f>reallifemeasures!$B$26:$J$26</c:f>
              <c:numCache>
                <c:formatCode>General</c:formatCode>
                <c:ptCount val="9"/>
                <c:pt idx="0">
                  <c:v>-19.2</c:v>
                </c:pt>
                <c:pt idx="1">
                  <c:v>-15.2</c:v>
                </c:pt>
                <c:pt idx="2">
                  <c:v>-10.3</c:v>
                </c:pt>
                <c:pt idx="3">
                  <c:v>-5.8</c:v>
                </c:pt>
                <c:pt idx="4">
                  <c:v>0.4</c:v>
                </c:pt>
                <c:pt idx="5">
                  <c:v>4.9000000000000004</c:v>
                </c:pt>
                <c:pt idx="6">
                  <c:v>9.3000000000000007</c:v>
                </c:pt>
                <c:pt idx="7">
                  <c:v>13.8</c:v>
                </c:pt>
                <c:pt idx="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7B-4BE4-B452-B24F59AB2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919439"/>
        <c:axId val="598911279"/>
      </c:lineChart>
      <c:catAx>
        <c:axId val="59891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setpoint yaw 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911279"/>
        <c:crosses val="autoZero"/>
        <c:auto val="1"/>
        <c:lblAlgn val="ctr"/>
        <c:lblOffset val="100"/>
        <c:noMultiLvlLbl val="0"/>
      </c:catAx>
      <c:valAx>
        <c:axId val="59891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9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Yaw Angle comparison between</a:t>
            </a:r>
            <a:r>
              <a:rPr lang="fr-FR" baseline="0"/>
              <a:t> setpoint and measured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Measured Angle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yawMovement!$16:$16</c:f>
              <c:numCache>
                <c:formatCode>General</c:formatCode>
                <c:ptCount val="16384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</c:numCache>
            </c:numRef>
          </c:cat>
          <c:val>
            <c:numRef>
              <c:f>yawMovement!$A$8:$CW$8</c:f>
              <c:numCache>
                <c:formatCode>General</c:formatCode>
                <c:ptCount val="101"/>
                <c:pt idx="0">
                  <c:v>-38.839699999999993</c:v>
                </c:pt>
                <c:pt idx="1">
                  <c:v>-38.138599999999997</c:v>
                </c:pt>
                <c:pt idx="2">
                  <c:v>-37.354399999999998</c:v>
                </c:pt>
                <c:pt idx="3">
                  <c:v>-36.573599999999999</c:v>
                </c:pt>
                <c:pt idx="4">
                  <c:v>-35.765100000000018</c:v>
                </c:pt>
                <c:pt idx="5">
                  <c:v>-34.998800000000017</c:v>
                </c:pt>
                <c:pt idx="6">
                  <c:v>-34.210699999999974</c:v>
                </c:pt>
                <c:pt idx="7">
                  <c:v>-33.432900000000018</c:v>
                </c:pt>
                <c:pt idx="8">
                  <c:v>-32.629500000000007</c:v>
                </c:pt>
                <c:pt idx="9">
                  <c:v>-31.851600000000019</c:v>
                </c:pt>
                <c:pt idx="10">
                  <c:v>-31.054500000000019</c:v>
                </c:pt>
                <c:pt idx="11">
                  <c:v>-30.266599999999983</c:v>
                </c:pt>
                <c:pt idx="12">
                  <c:v>-29.490400000000022</c:v>
                </c:pt>
                <c:pt idx="13">
                  <c:v>-28.692499999999995</c:v>
                </c:pt>
                <c:pt idx="14">
                  <c:v>-27.903599999999983</c:v>
                </c:pt>
                <c:pt idx="15">
                  <c:v>-27.116499999999974</c:v>
                </c:pt>
                <c:pt idx="16">
                  <c:v>-26.335699999999974</c:v>
                </c:pt>
                <c:pt idx="17">
                  <c:v>-25.547799999999995</c:v>
                </c:pt>
                <c:pt idx="18">
                  <c:v>-24.750099999999975</c:v>
                </c:pt>
                <c:pt idx="19">
                  <c:v>-23.953599999999994</c:v>
                </c:pt>
                <c:pt idx="20">
                  <c:v>-23.166200000000003</c:v>
                </c:pt>
                <c:pt idx="21">
                  <c:v>-22.382999999999981</c:v>
                </c:pt>
                <c:pt idx="22">
                  <c:v>-21.605099999999993</c:v>
                </c:pt>
                <c:pt idx="23">
                  <c:v>-20.826000000000022</c:v>
                </c:pt>
                <c:pt idx="24">
                  <c:v>-20.050400000000025</c:v>
                </c:pt>
                <c:pt idx="25">
                  <c:v>-19.276200000000017</c:v>
                </c:pt>
                <c:pt idx="26">
                  <c:v>-18.496500000000026</c:v>
                </c:pt>
                <c:pt idx="27">
                  <c:v>-17.720700000000022</c:v>
                </c:pt>
                <c:pt idx="28">
                  <c:v>-16.952099999999973</c:v>
                </c:pt>
                <c:pt idx="29">
                  <c:v>-16.179899999999975</c:v>
                </c:pt>
                <c:pt idx="30">
                  <c:v>-15.407300000000021</c:v>
                </c:pt>
                <c:pt idx="31">
                  <c:v>-14.637099999999975</c:v>
                </c:pt>
                <c:pt idx="32">
                  <c:v>-13.867500000000007</c:v>
                </c:pt>
                <c:pt idx="33">
                  <c:v>-13.102800000000002</c:v>
                </c:pt>
                <c:pt idx="34">
                  <c:v>-12.331799999999987</c:v>
                </c:pt>
                <c:pt idx="35">
                  <c:v>-11.563499999999976</c:v>
                </c:pt>
                <c:pt idx="36">
                  <c:v>-10.795000000000016</c:v>
                </c:pt>
                <c:pt idx="37">
                  <c:v>-10.029200000000003</c:v>
                </c:pt>
                <c:pt idx="38">
                  <c:v>-9.259900000000016</c:v>
                </c:pt>
                <c:pt idx="39">
                  <c:v>-8.490099999999984</c:v>
                </c:pt>
                <c:pt idx="40">
                  <c:v>-7.7230000000000132</c:v>
                </c:pt>
                <c:pt idx="41">
                  <c:v>-6.9581000000000017</c:v>
                </c:pt>
                <c:pt idx="42">
                  <c:v>-6.2010999999999967</c:v>
                </c:pt>
                <c:pt idx="43">
                  <c:v>-5.4465000000000146</c:v>
                </c:pt>
                <c:pt idx="44">
                  <c:v>-4.6872999999999934</c:v>
                </c:pt>
                <c:pt idx="45">
                  <c:v>-3.9309999999999832</c:v>
                </c:pt>
                <c:pt idx="46">
                  <c:v>-3.1725999999999885</c:v>
                </c:pt>
                <c:pt idx="47">
                  <c:v>-2.4137999999999806</c:v>
                </c:pt>
                <c:pt idx="48">
                  <c:v>-1.6541000000000281</c:v>
                </c:pt>
                <c:pt idx="49">
                  <c:v>-0.89589999999998327</c:v>
                </c:pt>
                <c:pt idx="50">
                  <c:v>-0.14280000000002246</c:v>
                </c:pt>
                <c:pt idx="51">
                  <c:v>0.60723320000000003</c:v>
                </c:pt>
                <c:pt idx="52">
                  <c:v>1.357437</c:v>
                </c:pt>
                <c:pt idx="53">
                  <c:v>2.0984759999999998</c:v>
                </c:pt>
                <c:pt idx="54">
                  <c:v>3.0484439999999999</c:v>
                </c:pt>
                <c:pt idx="55">
                  <c:v>3.8115589999999999</c:v>
                </c:pt>
                <c:pt idx="56">
                  <c:v>4.5831939999999998</c:v>
                </c:pt>
                <c:pt idx="57">
                  <c:v>5.2741569999999998</c:v>
                </c:pt>
                <c:pt idx="58">
                  <c:v>5.9660849999999996</c:v>
                </c:pt>
                <c:pt idx="59">
                  <c:v>6.8946649999999998</c:v>
                </c:pt>
                <c:pt idx="60">
                  <c:v>7.6552759999999997</c:v>
                </c:pt>
                <c:pt idx="61">
                  <c:v>8.3862830000000006</c:v>
                </c:pt>
                <c:pt idx="62">
                  <c:v>9.0524679999999993</c:v>
                </c:pt>
                <c:pt idx="63">
                  <c:v>9.971584</c:v>
                </c:pt>
                <c:pt idx="64">
                  <c:v>10.72264</c:v>
                </c:pt>
                <c:pt idx="65">
                  <c:v>11.404680000000001</c:v>
                </c:pt>
                <c:pt idx="66">
                  <c:v>12.27684</c:v>
                </c:pt>
                <c:pt idx="67">
                  <c:v>13.03171</c:v>
                </c:pt>
                <c:pt idx="68">
                  <c:v>13.62382</c:v>
                </c:pt>
                <c:pt idx="69">
                  <c:v>14.579050000000001</c:v>
                </c:pt>
                <c:pt idx="70">
                  <c:v>15.342969999999999</c:v>
                </c:pt>
                <c:pt idx="71">
                  <c:v>16.126750000000001</c:v>
                </c:pt>
                <c:pt idx="72">
                  <c:v>16.871690000000001</c:v>
                </c:pt>
                <c:pt idx="73">
                  <c:v>17.64648</c:v>
                </c:pt>
                <c:pt idx="74">
                  <c:v>18.384250000000002</c:v>
                </c:pt>
                <c:pt idx="75">
                  <c:v>19.213450000000002</c:v>
                </c:pt>
                <c:pt idx="76">
                  <c:v>19.982299999999999</c:v>
                </c:pt>
                <c:pt idx="77">
                  <c:v>20.778089999999999</c:v>
                </c:pt>
                <c:pt idx="78">
                  <c:v>21.489699999999999</c:v>
                </c:pt>
                <c:pt idx="79">
                  <c:v>22.31202</c:v>
                </c:pt>
                <c:pt idx="80">
                  <c:v>23.058150000000001</c:v>
                </c:pt>
                <c:pt idx="81">
                  <c:v>23.85755</c:v>
                </c:pt>
                <c:pt idx="82">
                  <c:v>24.587319999999998</c:v>
                </c:pt>
                <c:pt idx="83">
                  <c:v>25.430309999999999</c:v>
                </c:pt>
                <c:pt idx="84">
                  <c:v>26.103400000000001</c:v>
                </c:pt>
                <c:pt idx="85">
                  <c:v>27.004950000000001</c:v>
                </c:pt>
                <c:pt idx="86">
                  <c:v>27.638729999999999</c:v>
                </c:pt>
                <c:pt idx="87">
                  <c:v>28.576779999999999</c:v>
                </c:pt>
                <c:pt idx="88">
                  <c:v>29.254770000000001</c:v>
                </c:pt>
                <c:pt idx="89">
                  <c:v>30.138629999999999</c:v>
                </c:pt>
                <c:pt idx="90">
                  <c:v>30.779579999999999</c:v>
                </c:pt>
                <c:pt idx="91">
                  <c:v>31.67906</c:v>
                </c:pt>
                <c:pt idx="92">
                  <c:v>32.300139999999999</c:v>
                </c:pt>
                <c:pt idx="93">
                  <c:v>33.256039999999999</c:v>
                </c:pt>
                <c:pt idx="94">
                  <c:v>33.910069999999997</c:v>
                </c:pt>
                <c:pt idx="95">
                  <c:v>34.78369</c:v>
                </c:pt>
                <c:pt idx="96">
                  <c:v>35.534880000000001</c:v>
                </c:pt>
                <c:pt idx="97">
                  <c:v>36.565100000000001</c:v>
                </c:pt>
                <c:pt idx="98">
                  <c:v>37.363869999999999</c:v>
                </c:pt>
                <c:pt idx="99">
                  <c:v>37.947220000000002</c:v>
                </c:pt>
                <c:pt idx="100">
                  <c:v>38.79222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9-4344-9F04-FBC7F4F95B4D}"/>
            </c:ext>
          </c:extLst>
        </c:ser>
        <c:ser>
          <c:idx val="1"/>
          <c:order val="1"/>
          <c:tx>
            <c:v>setpoint Angle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yawMovement!$16:$16</c:f>
              <c:numCache>
                <c:formatCode>General</c:formatCode>
                <c:ptCount val="16384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  <c:pt idx="100">
                  <c:v>10.09999999999998</c:v>
                </c:pt>
              </c:numCache>
            </c:numRef>
          </c:cat>
          <c:val>
            <c:numRef>
              <c:f>yawMovement!$A$9:$CW$9</c:f>
              <c:numCache>
                <c:formatCode>0.0</c:formatCode>
                <c:ptCount val="101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9-4344-9F04-FBC7F4F9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569967"/>
        <c:axId val="865570447"/>
      </c:lineChart>
      <c:catAx>
        <c:axId val="86556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Duration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5570447"/>
        <c:crosses val="autoZero"/>
        <c:auto val="1"/>
        <c:lblAlgn val="ctr"/>
        <c:lblOffset val="100"/>
        <c:noMultiLvlLbl val="0"/>
      </c:catAx>
      <c:valAx>
        <c:axId val="8655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for Yaw</a:t>
                </a:r>
                <a:r>
                  <a:rPr lang="fr-FR" baseline="0"/>
                  <a:t> (°)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556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Cable Length for Yaw angle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Cable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yawMovement!$9:$9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yawMovement!$A$11:$CW$11</c:f>
              <c:numCache>
                <c:formatCode>General</c:formatCode>
                <c:ptCount val="101"/>
                <c:pt idx="0">
                  <c:v>252.25630000000001</c:v>
                </c:pt>
                <c:pt idx="1">
                  <c:v>251.75149999999999</c:v>
                </c:pt>
                <c:pt idx="2">
                  <c:v>251.24979999999999</c:v>
                </c:pt>
                <c:pt idx="3">
                  <c:v>250.75149999999999</c:v>
                </c:pt>
                <c:pt idx="4">
                  <c:v>250.2567</c:v>
                </c:pt>
                <c:pt idx="5">
                  <c:v>249.7655</c:v>
                </c:pt>
                <c:pt idx="6">
                  <c:v>249.27799999999999</c:v>
                </c:pt>
                <c:pt idx="7">
                  <c:v>248.79429999999999</c:v>
                </c:pt>
                <c:pt idx="8">
                  <c:v>248.31450000000001</c:v>
                </c:pt>
                <c:pt idx="9">
                  <c:v>247.83879999999999</c:v>
                </c:pt>
                <c:pt idx="10">
                  <c:v>247.3673</c:v>
                </c:pt>
                <c:pt idx="11">
                  <c:v>246.90010000000001</c:v>
                </c:pt>
                <c:pt idx="12">
                  <c:v>246.43719999999999</c:v>
                </c:pt>
                <c:pt idx="13">
                  <c:v>245.97890000000001</c:v>
                </c:pt>
                <c:pt idx="14">
                  <c:v>245.52520000000001</c:v>
                </c:pt>
                <c:pt idx="15">
                  <c:v>245.0763</c:v>
                </c:pt>
                <c:pt idx="16">
                  <c:v>244.63220000000001</c:v>
                </c:pt>
                <c:pt idx="17">
                  <c:v>244.19309999999999</c:v>
                </c:pt>
                <c:pt idx="18">
                  <c:v>243.75909999999999</c:v>
                </c:pt>
                <c:pt idx="19">
                  <c:v>243.33029999999999</c:v>
                </c:pt>
                <c:pt idx="20">
                  <c:v>242.9068</c:v>
                </c:pt>
                <c:pt idx="21">
                  <c:v>242.4888</c:v>
                </c:pt>
                <c:pt idx="22">
                  <c:v>242.0762</c:v>
                </c:pt>
                <c:pt idx="23">
                  <c:v>241.66929999999999</c:v>
                </c:pt>
                <c:pt idx="24">
                  <c:v>241.26820000000001</c:v>
                </c:pt>
                <c:pt idx="25">
                  <c:v>240.87289999999999</c:v>
                </c:pt>
                <c:pt idx="26">
                  <c:v>240.4836</c:v>
                </c:pt>
                <c:pt idx="27">
                  <c:v>240.1003</c:v>
                </c:pt>
                <c:pt idx="28">
                  <c:v>239.72329999999999</c:v>
                </c:pt>
                <c:pt idx="29">
                  <c:v>239.35239999999999</c:v>
                </c:pt>
                <c:pt idx="30">
                  <c:v>238.988</c:v>
                </c:pt>
                <c:pt idx="31">
                  <c:v>238.6301</c:v>
                </c:pt>
                <c:pt idx="32">
                  <c:v>238.27869999999999</c:v>
                </c:pt>
                <c:pt idx="33">
                  <c:v>237.934</c:v>
                </c:pt>
                <c:pt idx="34">
                  <c:v>237.596</c:v>
                </c:pt>
                <c:pt idx="35">
                  <c:v>237.26499999999999</c:v>
                </c:pt>
                <c:pt idx="36">
                  <c:v>236.9409</c:v>
                </c:pt>
                <c:pt idx="37">
                  <c:v>236.62379999999999</c:v>
                </c:pt>
                <c:pt idx="38">
                  <c:v>236.31389999999999</c:v>
                </c:pt>
                <c:pt idx="39">
                  <c:v>236.0112</c:v>
                </c:pt>
                <c:pt idx="40">
                  <c:v>235.7158</c:v>
                </c:pt>
                <c:pt idx="41">
                  <c:v>235.42789999999999</c:v>
                </c:pt>
                <c:pt idx="42">
                  <c:v>235.1474</c:v>
                </c:pt>
                <c:pt idx="43">
                  <c:v>234.87450000000001</c:v>
                </c:pt>
                <c:pt idx="44">
                  <c:v>234.60919999999999</c:v>
                </c:pt>
                <c:pt idx="45">
                  <c:v>234.35159999999999</c:v>
                </c:pt>
                <c:pt idx="46">
                  <c:v>234.1019</c:v>
                </c:pt>
                <c:pt idx="47">
                  <c:v>233.86</c:v>
                </c:pt>
                <c:pt idx="48">
                  <c:v>233.62610000000001</c:v>
                </c:pt>
                <c:pt idx="49">
                  <c:v>233.40020000000001</c:v>
                </c:pt>
                <c:pt idx="50">
                  <c:v>233.1823</c:v>
                </c:pt>
                <c:pt idx="51">
                  <c:v>232.9727</c:v>
                </c:pt>
                <c:pt idx="52">
                  <c:v>232.77119999999999</c:v>
                </c:pt>
                <c:pt idx="53">
                  <c:v>232.578</c:v>
                </c:pt>
                <c:pt idx="54">
                  <c:v>232.3931</c:v>
                </c:pt>
                <c:pt idx="55">
                  <c:v>232.2166</c:v>
                </c:pt>
                <c:pt idx="56">
                  <c:v>232.04859999999999</c:v>
                </c:pt>
                <c:pt idx="57">
                  <c:v>231.88900000000001</c:v>
                </c:pt>
                <c:pt idx="58">
                  <c:v>231.738</c:v>
                </c:pt>
                <c:pt idx="59">
                  <c:v>231.59559999999999</c:v>
                </c:pt>
                <c:pt idx="60">
                  <c:v>231.46180000000001</c:v>
                </c:pt>
                <c:pt idx="61">
                  <c:v>231.33670000000001</c:v>
                </c:pt>
                <c:pt idx="62">
                  <c:v>231.22020000000001</c:v>
                </c:pt>
                <c:pt idx="63">
                  <c:v>231.11250000000001</c:v>
                </c:pt>
                <c:pt idx="64">
                  <c:v>231.0136</c:v>
                </c:pt>
                <c:pt idx="65">
                  <c:v>230.92349999999999</c:v>
                </c:pt>
                <c:pt idx="66">
                  <c:v>230.84229999999999</c:v>
                </c:pt>
                <c:pt idx="67">
                  <c:v>230.76990000000001</c:v>
                </c:pt>
                <c:pt idx="68">
                  <c:v>230.7064</c:v>
                </c:pt>
                <c:pt idx="69">
                  <c:v>230.65180000000001</c:v>
                </c:pt>
                <c:pt idx="70">
                  <c:v>230.6061</c:v>
                </c:pt>
                <c:pt idx="71">
                  <c:v>230.5693</c:v>
                </c:pt>
                <c:pt idx="72">
                  <c:v>230.54150000000001</c:v>
                </c:pt>
                <c:pt idx="73">
                  <c:v>230.52269999999999</c:v>
                </c:pt>
                <c:pt idx="74">
                  <c:v>230.5128</c:v>
                </c:pt>
                <c:pt idx="75">
                  <c:v>230.51179999999999</c:v>
                </c:pt>
                <c:pt idx="76">
                  <c:v>230.51990000000001</c:v>
                </c:pt>
                <c:pt idx="77">
                  <c:v>230.5369</c:v>
                </c:pt>
                <c:pt idx="78">
                  <c:v>230.56280000000001</c:v>
                </c:pt>
                <c:pt idx="79">
                  <c:v>230.5977</c:v>
                </c:pt>
                <c:pt idx="80">
                  <c:v>230.64160000000001</c:v>
                </c:pt>
                <c:pt idx="81">
                  <c:v>230.6943</c:v>
                </c:pt>
                <c:pt idx="82">
                  <c:v>230.756</c:v>
                </c:pt>
                <c:pt idx="83">
                  <c:v>230.82660000000001</c:v>
                </c:pt>
                <c:pt idx="84">
                  <c:v>230.90600000000001</c:v>
                </c:pt>
                <c:pt idx="85">
                  <c:v>230.99420000000001</c:v>
                </c:pt>
                <c:pt idx="86">
                  <c:v>231.09129999999999</c:v>
                </c:pt>
                <c:pt idx="87">
                  <c:v>231.19720000000001</c:v>
                </c:pt>
                <c:pt idx="88">
                  <c:v>231.31180000000001</c:v>
                </c:pt>
                <c:pt idx="89">
                  <c:v>231.43510000000001</c:v>
                </c:pt>
                <c:pt idx="90">
                  <c:v>231.56710000000001</c:v>
                </c:pt>
                <c:pt idx="91">
                  <c:v>231.70779999999999</c:v>
                </c:pt>
                <c:pt idx="92">
                  <c:v>231.857</c:v>
                </c:pt>
                <c:pt idx="93">
                  <c:v>232.01480000000001</c:v>
                </c:pt>
                <c:pt idx="94">
                  <c:v>232.18109999999999</c:v>
                </c:pt>
                <c:pt idx="95">
                  <c:v>232.35579999999999</c:v>
                </c:pt>
                <c:pt idx="96">
                  <c:v>232.53899999999999</c:v>
                </c:pt>
                <c:pt idx="97">
                  <c:v>232.7304</c:v>
                </c:pt>
                <c:pt idx="98">
                  <c:v>232.93020000000001</c:v>
                </c:pt>
                <c:pt idx="99">
                  <c:v>233.13820000000001</c:v>
                </c:pt>
                <c:pt idx="100">
                  <c:v>233.35429999999999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1-4863-ADC5-46F384254CDD}"/>
            </c:ext>
          </c:extLst>
        </c:ser>
        <c:ser>
          <c:idx val="1"/>
          <c:order val="1"/>
          <c:tx>
            <c:v>Cable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yawMovement!$9:$9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yawMovement!$A$12:$CW$12</c:f>
              <c:numCache>
                <c:formatCode>General</c:formatCode>
                <c:ptCount val="101"/>
                <c:pt idx="0">
                  <c:v>226.24539999999999</c:v>
                </c:pt>
                <c:pt idx="1">
                  <c:v>225.20079999999999</c:v>
                </c:pt>
                <c:pt idx="2">
                  <c:v>224.20330000000001</c:v>
                </c:pt>
                <c:pt idx="3">
                  <c:v>223.25380000000001</c:v>
                </c:pt>
                <c:pt idx="4">
                  <c:v>222.35300000000001</c:v>
                </c:pt>
                <c:pt idx="5">
                  <c:v>221.50190000000001</c:v>
                </c:pt>
                <c:pt idx="6">
                  <c:v>220.70099999999999</c:v>
                </c:pt>
                <c:pt idx="7">
                  <c:v>219.9512</c:v>
                </c:pt>
                <c:pt idx="8">
                  <c:v>219.25299999999999</c:v>
                </c:pt>
                <c:pt idx="9">
                  <c:v>218.6071</c:v>
                </c:pt>
                <c:pt idx="10">
                  <c:v>218.01419999999999</c:v>
                </c:pt>
                <c:pt idx="11">
                  <c:v>217.47470000000001</c:v>
                </c:pt>
                <c:pt idx="12">
                  <c:v>216.98910000000001</c:v>
                </c:pt>
                <c:pt idx="13">
                  <c:v>216.55799999999999</c:v>
                </c:pt>
                <c:pt idx="14">
                  <c:v>216.18170000000001</c:v>
                </c:pt>
                <c:pt idx="15">
                  <c:v>215.8605</c:v>
                </c:pt>
                <c:pt idx="16">
                  <c:v>215.5949</c:v>
                </c:pt>
                <c:pt idx="17">
                  <c:v>215.38499999999999</c:v>
                </c:pt>
                <c:pt idx="18">
                  <c:v>215.2311</c:v>
                </c:pt>
                <c:pt idx="19">
                  <c:v>215.13329999999999</c:v>
                </c:pt>
                <c:pt idx="20">
                  <c:v>215.0916</c:v>
                </c:pt>
                <c:pt idx="21">
                  <c:v>215.1062</c:v>
                </c:pt>
                <c:pt idx="22">
                  <c:v>215.1771</c:v>
                </c:pt>
                <c:pt idx="23">
                  <c:v>215.30410000000001</c:v>
                </c:pt>
                <c:pt idx="24">
                  <c:v>215.4871</c:v>
                </c:pt>
                <c:pt idx="25">
                  <c:v>215.726</c:v>
                </c:pt>
                <c:pt idx="26">
                  <c:v>216.0205</c:v>
                </c:pt>
                <c:pt idx="27">
                  <c:v>216.37029999999999</c:v>
                </c:pt>
                <c:pt idx="28">
                  <c:v>216.77510000000001</c:v>
                </c:pt>
                <c:pt idx="29">
                  <c:v>217.2346</c:v>
                </c:pt>
                <c:pt idx="30">
                  <c:v>217.7482</c:v>
                </c:pt>
                <c:pt idx="31">
                  <c:v>218.31559999999999</c:v>
                </c:pt>
                <c:pt idx="32">
                  <c:v>218.93610000000001</c:v>
                </c:pt>
                <c:pt idx="33">
                  <c:v>219.60919999999999</c:v>
                </c:pt>
                <c:pt idx="34">
                  <c:v>220.33430000000001</c:v>
                </c:pt>
                <c:pt idx="35">
                  <c:v>221.11070000000001</c:v>
                </c:pt>
                <c:pt idx="36">
                  <c:v>221.93780000000001</c:v>
                </c:pt>
                <c:pt idx="37">
                  <c:v>222.81479999999999</c:v>
                </c:pt>
                <c:pt idx="38">
                  <c:v>223.74100000000001</c:v>
                </c:pt>
                <c:pt idx="39">
                  <c:v>224.71549999999999</c:v>
                </c:pt>
                <c:pt idx="40">
                  <c:v>225.73759999999999</c:v>
                </c:pt>
                <c:pt idx="41">
                  <c:v>226.8065</c:v>
                </c:pt>
                <c:pt idx="42">
                  <c:v>227.9211</c:v>
                </c:pt>
                <c:pt idx="43">
                  <c:v>229.08080000000001</c:v>
                </c:pt>
                <c:pt idx="44">
                  <c:v>230.28450000000001</c:v>
                </c:pt>
                <c:pt idx="45">
                  <c:v>231.53139999999999</c:v>
                </c:pt>
                <c:pt idx="46">
                  <c:v>232.82050000000001</c:v>
                </c:pt>
                <c:pt idx="47">
                  <c:v>234.1508</c:v>
                </c:pt>
                <c:pt idx="48">
                  <c:v>235.5215</c:v>
                </c:pt>
                <c:pt idx="49">
                  <c:v>236.9315</c:v>
                </c:pt>
                <c:pt idx="50">
                  <c:v>238.37989999999999</c:v>
                </c:pt>
                <c:pt idx="51">
                  <c:v>239.8657</c:v>
                </c:pt>
                <c:pt idx="52">
                  <c:v>241.3879</c:v>
                </c:pt>
                <c:pt idx="53">
                  <c:v>242.94560000000001</c:v>
                </c:pt>
                <c:pt idx="54">
                  <c:v>244.5377</c:v>
                </c:pt>
                <c:pt idx="55">
                  <c:v>246.16329999999999</c:v>
                </c:pt>
                <c:pt idx="56">
                  <c:v>247.82149999999999</c:v>
                </c:pt>
                <c:pt idx="57">
                  <c:v>249.5112</c:v>
                </c:pt>
                <c:pt idx="58">
                  <c:v>251.23140000000001</c:v>
                </c:pt>
                <c:pt idx="59">
                  <c:v>252.9813</c:v>
                </c:pt>
                <c:pt idx="60">
                  <c:v>254.75989999999999</c:v>
                </c:pt>
                <c:pt idx="61">
                  <c:v>256.56619999999998</c:v>
                </c:pt>
                <c:pt idx="62">
                  <c:v>258.39940000000001</c:v>
                </c:pt>
                <c:pt idx="63">
                  <c:v>260.25839999999999</c:v>
                </c:pt>
                <c:pt idx="64">
                  <c:v>262.14240000000001</c:v>
                </c:pt>
                <c:pt idx="65">
                  <c:v>264.0505</c:v>
                </c:pt>
                <c:pt idx="66">
                  <c:v>265.98180000000002</c:v>
                </c:pt>
                <c:pt idx="67">
                  <c:v>267.93549999999999</c:v>
                </c:pt>
                <c:pt idx="68">
                  <c:v>269.91059999999999</c:v>
                </c:pt>
                <c:pt idx="69">
                  <c:v>271.90629999999999</c:v>
                </c:pt>
                <c:pt idx="70">
                  <c:v>273.92180000000002</c:v>
                </c:pt>
                <c:pt idx="71">
                  <c:v>275.95620000000002</c:v>
                </c:pt>
                <c:pt idx="72">
                  <c:v>278.00880000000001</c:v>
                </c:pt>
                <c:pt idx="73">
                  <c:v>280.0788</c:v>
                </c:pt>
                <c:pt idx="74">
                  <c:v>282.1653</c:v>
                </c:pt>
                <c:pt idx="75">
                  <c:v>284.26760000000002</c:v>
                </c:pt>
                <c:pt idx="76">
                  <c:v>286.38499999999999</c:v>
                </c:pt>
                <c:pt idx="77">
                  <c:v>288.51670000000001</c:v>
                </c:pt>
                <c:pt idx="78">
                  <c:v>290.66199999999998</c:v>
                </c:pt>
                <c:pt idx="79">
                  <c:v>292.8202</c:v>
                </c:pt>
                <c:pt idx="80">
                  <c:v>294.9905</c:v>
                </c:pt>
                <c:pt idx="81">
                  <c:v>297.17230000000001</c:v>
                </c:pt>
                <c:pt idx="82">
                  <c:v>299.36500000000001</c:v>
                </c:pt>
                <c:pt idx="83">
                  <c:v>301.5677</c:v>
                </c:pt>
                <c:pt idx="84">
                  <c:v>303.7801</c:v>
                </c:pt>
                <c:pt idx="85">
                  <c:v>306.00130000000001</c:v>
                </c:pt>
                <c:pt idx="86">
                  <c:v>308.23070000000001</c:v>
                </c:pt>
                <c:pt idx="87">
                  <c:v>310.46780000000001</c:v>
                </c:pt>
                <c:pt idx="88">
                  <c:v>312.71199999999999</c:v>
                </c:pt>
                <c:pt idx="89">
                  <c:v>314.96269999999998</c:v>
                </c:pt>
                <c:pt idx="90">
                  <c:v>317.2192</c:v>
                </c:pt>
                <c:pt idx="91">
                  <c:v>319.48110000000003</c:v>
                </c:pt>
                <c:pt idx="92">
                  <c:v>321.74779999999998</c:v>
                </c:pt>
                <c:pt idx="93">
                  <c:v>324.0188</c:v>
                </c:pt>
                <c:pt idx="94">
                  <c:v>326.29340000000002</c:v>
                </c:pt>
                <c:pt idx="95">
                  <c:v>328.57130000000001</c:v>
                </c:pt>
                <c:pt idx="96">
                  <c:v>330.8519</c:v>
                </c:pt>
                <c:pt idx="97">
                  <c:v>333.13470000000001</c:v>
                </c:pt>
                <c:pt idx="98">
                  <c:v>335.41919999999999</c:v>
                </c:pt>
                <c:pt idx="99">
                  <c:v>337.70499999999998</c:v>
                </c:pt>
                <c:pt idx="100">
                  <c:v>339.99149999999997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1-4863-ADC5-46F384254CDD}"/>
            </c:ext>
          </c:extLst>
        </c:ser>
        <c:ser>
          <c:idx val="2"/>
          <c:order val="2"/>
          <c:tx>
            <c:v>Cable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yawMovement!$9:$9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yawMovement!$A$13:$CW$13</c:f>
              <c:numCache>
                <c:formatCode>General</c:formatCode>
                <c:ptCount val="101"/>
                <c:pt idx="0">
                  <c:v>339.99160000000001</c:v>
                </c:pt>
                <c:pt idx="1">
                  <c:v>337.70510000000002</c:v>
                </c:pt>
                <c:pt idx="2">
                  <c:v>335.41930000000002</c:v>
                </c:pt>
                <c:pt idx="3">
                  <c:v>333.13479999999998</c:v>
                </c:pt>
                <c:pt idx="4">
                  <c:v>330.85199999999998</c:v>
                </c:pt>
                <c:pt idx="5">
                  <c:v>328.57139999999998</c:v>
                </c:pt>
                <c:pt idx="6">
                  <c:v>326.29349999999999</c:v>
                </c:pt>
                <c:pt idx="7">
                  <c:v>324.01889999999997</c:v>
                </c:pt>
                <c:pt idx="8">
                  <c:v>321.74790000000002</c:v>
                </c:pt>
                <c:pt idx="9">
                  <c:v>319.4812</c:v>
                </c:pt>
                <c:pt idx="10">
                  <c:v>317.21929999999998</c:v>
                </c:pt>
                <c:pt idx="11">
                  <c:v>314.96280000000002</c:v>
                </c:pt>
                <c:pt idx="12">
                  <c:v>312.7122</c:v>
                </c:pt>
                <c:pt idx="13">
                  <c:v>310.46800000000002</c:v>
                </c:pt>
                <c:pt idx="14">
                  <c:v>308.23079999999999</c:v>
                </c:pt>
                <c:pt idx="15">
                  <c:v>306.00139999999999</c:v>
                </c:pt>
                <c:pt idx="16">
                  <c:v>303.78019999999998</c:v>
                </c:pt>
                <c:pt idx="17">
                  <c:v>301.56790000000001</c:v>
                </c:pt>
                <c:pt idx="18">
                  <c:v>299.36509999999998</c:v>
                </c:pt>
                <c:pt idx="19">
                  <c:v>297.17239999999998</c:v>
                </c:pt>
                <c:pt idx="20">
                  <c:v>294.99059999999997</c:v>
                </c:pt>
                <c:pt idx="21">
                  <c:v>292.82029999999997</c:v>
                </c:pt>
                <c:pt idx="22">
                  <c:v>290.66210000000001</c:v>
                </c:pt>
                <c:pt idx="23">
                  <c:v>288.51679999999999</c:v>
                </c:pt>
                <c:pt idx="24">
                  <c:v>286.38510000000002</c:v>
                </c:pt>
                <c:pt idx="25">
                  <c:v>284.26769999999999</c:v>
                </c:pt>
                <c:pt idx="26">
                  <c:v>282.16539999999998</c:v>
                </c:pt>
                <c:pt idx="27">
                  <c:v>280.07889999999998</c:v>
                </c:pt>
                <c:pt idx="28">
                  <c:v>278.00889999999998</c:v>
                </c:pt>
                <c:pt idx="29">
                  <c:v>275.9563</c:v>
                </c:pt>
                <c:pt idx="30">
                  <c:v>273.92189999999999</c:v>
                </c:pt>
                <c:pt idx="31">
                  <c:v>271.90640000000002</c:v>
                </c:pt>
                <c:pt idx="32">
                  <c:v>269.91070000000002</c:v>
                </c:pt>
                <c:pt idx="33">
                  <c:v>267.93560000000002</c:v>
                </c:pt>
                <c:pt idx="34">
                  <c:v>265.98200000000003</c:v>
                </c:pt>
                <c:pt idx="35">
                  <c:v>264.05059999999997</c:v>
                </c:pt>
                <c:pt idx="36">
                  <c:v>262.14249999999998</c:v>
                </c:pt>
                <c:pt idx="37">
                  <c:v>260.25850000000003</c:v>
                </c:pt>
                <c:pt idx="38">
                  <c:v>258.39949999999999</c:v>
                </c:pt>
                <c:pt idx="39">
                  <c:v>256.56630000000001</c:v>
                </c:pt>
                <c:pt idx="40">
                  <c:v>254.76</c:v>
                </c:pt>
                <c:pt idx="41">
                  <c:v>252.98140000000001</c:v>
                </c:pt>
                <c:pt idx="42">
                  <c:v>251.23150000000001</c:v>
                </c:pt>
                <c:pt idx="43">
                  <c:v>249.5112</c:v>
                </c:pt>
                <c:pt idx="44">
                  <c:v>247.82149999999999</c:v>
                </c:pt>
                <c:pt idx="45">
                  <c:v>246.1634</c:v>
                </c:pt>
                <c:pt idx="46">
                  <c:v>244.5378</c:v>
                </c:pt>
                <c:pt idx="47">
                  <c:v>242.94569999999999</c:v>
                </c:pt>
                <c:pt idx="48">
                  <c:v>241.38800000000001</c:v>
                </c:pt>
                <c:pt idx="49">
                  <c:v>239.86580000000001</c:v>
                </c:pt>
                <c:pt idx="50">
                  <c:v>238.38</c:v>
                </c:pt>
                <c:pt idx="51">
                  <c:v>236.9316</c:v>
                </c:pt>
                <c:pt idx="52">
                  <c:v>235.52160000000001</c:v>
                </c:pt>
                <c:pt idx="53">
                  <c:v>234.15090000000001</c:v>
                </c:pt>
                <c:pt idx="54">
                  <c:v>232.82060000000001</c:v>
                </c:pt>
                <c:pt idx="55">
                  <c:v>231.53149999999999</c:v>
                </c:pt>
                <c:pt idx="56">
                  <c:v>230.28460000000001</c:v>
                </c:pt>
                <c:pt idx="57">
                  <c:v>229.08090000000001</c:v>
                </c:pt>
                <c:pt idx="58">
                  <c:v>227.9212</c:v>
                </c:pt>
                <c:pt idx="59">
                  <c:v>226.8065</c:v>
                </c:pt>
                <c:pt idx="60">
                  <c:v>225.73769999999999</c:v>
                </c:pt>
                <c:pt idx="61">
                  <c:v>224.71559999999999</c:v>
                </c:pt>
                <c:pt idx="62">
                  <c:v>223.74100000000001</c:v>
                </c:pt>
                <c:pt idx="63">
                  <c:v>222.81489999999999</c:v>
                </c:pt>
                <c:pt idx="64">
                  <c:v>221.93790000000001</c:v>
                </c:pt>
                <c:pt idx="65">
                  <c:v>221.11080000000001</c:v>
                </c:pt>
                <c:pt idx="66">
                  <c:v>220.33430000000001</c:v>
                </c:pt>
                <c:pt idx="67">
                  <c:v>219.60919999999999</c:v>
                </c:pt>
                <c:pt idx="68">
                  <c:v>218.93610000000001</c:v>
                </c:pt>
                <c:pt idx="69">
                  <c:v>218.31559999999999</c:v>
                </c:pt>
                <c:pt idx="70">
                  <c:v>217.7483</c:v>
                </c:pt>
                <c:pt idx="71">
                  <c:v>217.2346</c:v>
                </c:pt>
                <c:pt idx="72">
                  <c:v>216.77520000000001</c:v>
                </c:pt>
                <c:pt idx="73">
                  <c:v>216.37029999999999</c:v>
                </c:pt>
                <c:pt idx="74">
                  <c:v>216.0205</c:v>
                </c:pt>
                <c:pt idx="75">
                  <c:v>215.726</c:v>
                </c:pt>
                <c:pt idx="76">
                  <c:v>215.4871</c:v>
                </c:pt>
                <c:pt idx="77">
                  <c:v>215.30410000000001</c:v>
                </c:pt>
                <c:pt idx="78">
                  <c:v>215.1771</c:v>
                </c:pt>
                <c:pt idx="79">
                  <c:v>215.1062</c:v>
                </c:pt>
                <c:pt idx="80">
                  <c:v>215.0916</c:v>
                </c:pt>
                <c:pt idx="81">
                  <c:v>215.13329999999999</c:v>
                </c:pt>
                <c:pt idx="82">
                  <c:v>215.2311</c:v>
                </c:pt>
                <c:pt idx="83">
                  <c:v>215.38499999999999</c:v>
                </c:pt>
                <c:pt idx="84">
                  <c:v>215.5949</c:v>
                </c:pt>
                <c:pt idx="85">
                  <c:v>215.8605</c:v>
                </c:pt>
                <c:pt idx="86">
                  <c:v>216.18170000000001</c:v>
                </c:pt>
                <c:pt idx="87">
                  <c:v>216.55799999999999</c:v>
                </c:pt>
                <c:pt idx="88">
                  <c:v>216.98910000000001</c:v>
                </c:pt>
                <c:pt idx="89">
                  <c:v>217.47470000000001</c:v>
                </c:pt>
                <c:pt idx="90">
                  <c:v>218.01419999999999</c:v>
                </c:pt>
                <c:pt idx="91">
                  <c:v>218.6071</c:v>
                </c:pt>
                <c:pt idx="92">
                  <c:v>219.25299999999999</c:v>
                </c:pt>
                <c:pt idx="93">
                  <c:v>219.9511</c:v>
                </c:pt>
                <c:pt idx="94">
                  <c:v>220.70099999999999</c:v>
                </c:pt>
                <c:pt idx="95">
                  <c:v>221.5018</c:v>
                </c:pt>
                <c:pt idx="96">
                  <c:v>222.35300000000001</c:v>
                </c:pt>
                <c:pt idx="97">
                  <c:v>223.25370000000001</c:v>
                </c:pt>
                <c:pt idx="98">
                  <c:v>224.20320000000001</c:v>
                </c:pt>
                <c:pt idx="99">
                  <c:v>225.20070000000001</c:v>
                </c:pt>
                <c:pt idx="100">
                  <c:v>226.24539999999999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C1-4863-ADC5-46F384254CDD}"/>
            </c:ext>
          </c:extLst>
        </c:ser>
        <c:ser>
          <c:idx val="3"/>
          <c:order val="3"/>
          <c:tx>
            <c:v>Cable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yawMovement!$9:$9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-29.600010000000001</c:v>
                </c:pt>
                <c:pt idx="13">
                  <c:v>-28.80001</c:v>
                </c:pt>
                <c:pt idx="14">
                  <c:v>-28.00001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-25.600010000000001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7.19998</c:v>
                </c:pt>
                <c:pt idx="59">
                  <c:v>7.9999799999999999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13.59998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15.999980000000001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28.799969999999998</c:v>
                </c:pt>
                <c:pt idx="86">
                  <c:v>29.599969999999999</c:v>
                </c:pt>
                <c:pt idx="87">
                  <c:v>30.39997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yawMovement!$A$14:$CW$14</c:f>
              <c:numCache>
                <c:formatCode>General</c:formatCode>
                <c:ptCount val="101"/>
                <c:pt idx="0">
                  <c:v>233.35429999999999</c:v>
                </c:pt>
                <c:pt idx="1">
                  <c:v>233.13820000000001</c:v>
                </c:pt>
                <c:pt idx="2">
                  <c:v>232.93020000000001</c:v>
                </c:pt>
                <c:pt idx="3">
                  <c:v>232.73050000000001</c:v>
                </c:pt>
                <c:pt idx="4">
                  <c:v>232.53899999999999</c:v>
                </c:pt>
                <c:pt idx="5">
                  <c:v>232.35579999999999</c:v>
                </c:pt>
                <c:pt idx="6">
                  <c:v>232.18109999999999</c:v>
                </c:pt>
                <c:pt idx="7">
                  <c:v>232.01480000000001</c:v>
                </c:pt>
                <c:pt idx="8">
                  <c:v>231.857</c:v>
                </c:pt>
                <c:pt idx="9">
                  <c:v>231.70779999999999</c:v>
                </c:pt>
                <c:pt idx="10">
                  <c:v>231.56710000000001</c:v>
                </c:pt>
                <c:pt idx="11">
                  <c:v>231.43510000000001</c:v>
                </c:pt>
                <c:pt idx="12">
                  <c:v>231.31180000000001</c:v>
                </c:pt>
                <c:pt idx="13">
                  <c:v>231.19720000000001</c:v>
                </c:pt>
                <c:pt idx="14">
                  <c:v>231.09129999999999</c:v>
                </c:pt>
                <c:pt idx="15">
                  <c:v>230.99420000000001</c:v>
                </c:pt>
                <c:pt idx="16">
                  <c:v>230.90600000000001</c:v>
                </c:pt>
                <c:pt idx="17">
                  <c:v>230.82660000000001</c:v>
                </c:pt>
                <c:pt idx="18">
                  <c:v>230.756</c:v>
                </c:pt>
                <c:pt idx="19">
                  <c:v>230.6943</c:v>
                </c:pt>
                <c:pt idx="20">
                  <c:v>230.64160000000001</c:v>
                </c:pt>
                <c:pt idx="21">
                  <c:v>230.5977</c:v>
                </c:pt>
                <c:pt idx="22">
                  <c:v>230.56280000000001</c:v>
                </c:pt>
                <c:pt idx="23">
                  <c:v>230.5369</c:v>
                </c:pt>
                <c:pt idx="24">
                  <c:v>230.51990000000001</c:v>
                </c:pt>
                <c:pt idx="25">
                  <c:v>230.51179999999999</c:v>
                </c:pt>
                <c:pt idx="26">
                  <c:v>230.5128</c:v>
                </c:pt>
                <c:pt idx="27">
                  <c:v>230.52269999999999</c:v>
                </c:pt>
                <c:pt idx="28">
                  <c:v>230.54150000000001</c:v>
                </c:pt>
                <c:pt idx="29">
                  <c:v>230.5693</c:v>
                </c:pt>
                <c:pt idx="30">
                  <c:v>230.6061</c:v>
                </c:pt>
                <c:pt idx="31">
                  <c:v>230.65180000000001</c:v>
                </c:pt>
                <c:pt idx="32">
                  <c:v>230.7064</c:v>
                </c:pt>
                <c:pt idx="33">
                  <c:v>230.76990000000001</c:v>
                </c:pt>
                <c:pt idx="34">
                  <c:v>230.84229999999999</c:v>
                </c:pt>
                <c:pt idx="35">
                  <c:v>230.92349999999999</c:v>
                </c:pt>
                <c:pt idx="36">
                  <c:v>231.0136</c:v>
                </c:pt>
                <c:pt idx="37">
                  <c:v>231.11250000000001</c:v>
                </c:pt>
                <c:pt idx="38">
                  <c:v>231.22020000000001</c:v>
                </c:pt>
                <c:pt idx="39">
                  <c:v>231.3366</c:v>
                </c:pt>
                <c:pt idx="40">
                  <c:v>231.46180000000001</c:v>
                </c:pt>
                <c:pt idx="41">
                  <c:v>231.59559999999999</c:v>
                </c:pt>
                <c:pt idx="42">
                  <c:v>231.738</c:v>
                </c:pt>
                <c:pt idx="43">
                  <c:v>231.88900000000001</c:v>
                </c:pt>
                <c:pt idx="44">
                  <c:v>232.04859999999999</c:v>
                </c:pt>
                <c:pt idx="45">
                  <c:v>232.2166</c:v>
                </c:pt>
                <c:pt idx="46">
                  <c:v>232.3931</c:v>
                </c:pt>
                <c:pt idx="47">
                  <c:v>232.578</c:v>
                </c:pt>
                <c:pt idx="48">
                  <c:v>232.77119999999999</c:v>
                </c:pt>
                <c:pt idx="49">
                  <c:v>232.9726</c:v>
                </c:pt>
                <c:pt idx="50">
                  <c:v>233.1823</c:v>
                </c:pt>
                <c:pt idx="51">
                  <c:v>233.40020000000001</c:v>
                </c:pt>
                <c:pt idx="52">
                  <c:v>233.62610000000001</c:v>
                </c:pt>
                <c:pt idx="53">
                  <c:v>233.86</c:v>
                </c:pt>
                <c:pt idx="54">
                  <c:v>234.1019</c:v>
                </c:pt>
                <c:pt idx="55">
                  <c:v>234.35159999999999</c:v>
                </c:pt>
                <c:pt idx="56">
                  <c:v>234.60919999999999</c:v>
                </c:pt>
                <c:pt idx="57">
                  <c:v>234.87440000000001</c:v>
                </c:pt>
                <c:pt idx="58">
                  <c:v>235.1474</c:v>
                </c:pt>
                <c:pt idx="59">
                  <c:v>235.42779999999999</c:v>
                </c:pt>
                <c:pt idx="60">
                  <c:v>235.7158</c:v>
                </c:pt>
                <c:pt idx="61">
                  <c:v>236.0112</c:v>
                </c:pt>
                <c:pt idx="62">
                  <c:v>236.31389999999999</c:v>
                </c:pt>
                <c:pt idx="63">
                  <c:v>236.62379999999999</c:v>
                </c:pt>
                <c:pt idx="64">
                  <c:v>236.9408</c:v>
                </c:pt>
                <c:pt idx="65">
                  <c:v>237.26499999999999</c:v>
                </c:pt>
                <c:pt idx="66">
                  <c:v>237.596</c:v>
                </c:pt>
                <c:pt idx="67">
                  <c:v>237.934</c:v>
                </c:pt>
                <c:pt idx="68">
                  <c:v>238.27869999999999</c:v>
                </c:pt>
                <c:pt idx="69">
                  <c:v>238.63</c:v>
                </c:pt>
                <c:pt idx="70">
                  <c:v>238.988</c:v>
                </c:pt>
                <c:pt idx="71">
                  <c:v>239.35239999999999</c:v>
                </c:pt>
                <c:pt idx="72">
                  <c:v>239.72329999999999</c:v>
                </c:pt>
                <c:pt idx="73">
                  <c:v>240.1003</c:v>
                </c:pt>
                <c:pt idx="74">
                  <c:v>240.4836</c:v>
                </c:pt>
                <c:pt idx="75">
                  <c:v>240.87289999999999</c:v>
                </c:pt>
                <c:pt idx="76">
                  <c:v>241.26820000000001</c:v>
                </c:pt>
                <c:pt idx="77">
                  <c:v>241.66929999999999</c:v>
                </c:pt>
                <c:pt idx="78">
                  <c:v>242.0762</c:v>
                </c:pt>
                <c:pt idx="79">
                  <c:v>242.4888</c:v>
                </c:pt>
                <c:pt idx="80">
                  <c:v>242.9068</c:v>
                </c:pt>
                <c:pt idx="81">
                  <c:v>243.33029999999999</c:v>
                </c:pt>
                <c:pt idx="82">
                  <c:v>243.75909999999999</c:v>
                </c:pt>
                <c:pt idx="83">
                  <c:v>244.19309999999999</c:v>
                </c:pt>
                <c:pt idx="84">
                  <c:v>244.63220000000001</c:v>
                </c:pt>
                <c:pt idx="85">
                  <c:v>245.0763</c:v>
                </c:pt>
                <c:pt idx="86">
                  <c:v>245.52520000000001</c:v>
                </c:pt>
                <c:pt idx="87">
                  <c:v>245.97890000000001</c:v>
                </c:pt>
                <c:pt idx="88">
                  <c:v>246.43719999999999</c:v>
                </c:pt>
                <c:pt idx="89">
                  <c:v>246.9</c:v>
                </c:pt>
                <c:pt idx="90">
                  <c:v>247.3673</c:v>
                </c:pt>
                <c:pt idx="91">
                  <c:v>247.83879999999999</c:v>
                </c:pt>
                <c:pt idx="92">
                  <c:v>248.31450000000001</c:v>
                </c:pt>
                <c:pt idx="93">
                  <c:v>248.79429999999999</c:v>
                </c:pt>
                <c:pt idx="94">
                  <c:v>249.27799999999999</c:v>
                </c:pt>
                <c:pt idx="95">
                  <c:v>249.7655</c:v>
                </c:pt>
                <c:pt idx="96">
                  <c:v>250.2567</c:v>
                </c:pt>
                <c:pt idx="97">
                  <c:v>250.75149999999999</c:v>
                </c:pt>
                <c:pt idx="98">
                  <c:v>251.24979999999999</c:v>
                </c:pt>
                <c:pt idx="99">
                  <c:v>251.75139999999999</c:v>
                </c:pt>
                <c:pt idx="100">
                  <c:v>252.25630000000001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C1-4863-ADC5-46F384254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256816"/>
        <c:axId val="487251056"/>
      </c:lineChart>
      <c:catAx>
        <c:axId val="4872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for Yaw (°)</a:t>
                </a:r>
              </a:p>
            </c:rich>
          </c:tx>
          <c:layout>
            <c:manualLayout>
              <c:xMode val="edge"/>
              <c:yMode val="edge"/>
              <c:x val="0.49602355555555555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251056"/>
        <c:crosses val="autoZero"/>
        <c:auto val="1"/>
        <c:lblAlgn val="ctr"/>
        <c:lblOffset val="100"/>
        <c:noMultiLvlLbl val="0"/>
      </c:catAx>
      <c:valAx>
        <c:axId val="4872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Cable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2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Roll Angle comparison</a:t>
            </a:r>
            <a:r>
              <a:rPr lang="fr-FR" baseline="0"/>
              <a:t> between setpoint and measured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Measured Angle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'rollMovement (2)'!$A$8:$CW$8</c:f>
              <c:numCache>
                <c:formatCode>General</c:formatCode>
                <c:ptCount val="101"/>
                <c:pt idx="0">
                  <c:v>-50.244250000000001</c:v>
                </c:pt>
                <c:pt idx="1">
                  <c:v>-49.466059999999999</c:v>
                </c:pt>
                <c:pt idx="2">
                  <c:v>-49.122160000000001</c:v>
                </c:pt>
                <c:pt idx="3">
                  <c:v>-49.088990000000003</c:v>
                </c:pt>
                <c:pt idx="4">
                  <c:v>-48.923430000000003</c:v>
                </c:pt>
                <c:pt idx="5">
                  <c:v>-47.947069999999997</c:v>
                </c:pt>
                <c:pt idx="6">
                  <c:v>-46.203699999999998</c:v>
                </c:pt>
                <c:pt idx="7">
                  <c:v>-44.44397</c:v>
                </c:pt>
                <c:pt idx="8">
                  <c:v>-43.133879999999998</c:v>
                </c:pt>
                <c:pt idx="9">
                  <c:v>-42.210769999999997</c:v>
                </c:pt>
                <c:pt idx="10">
                  <c:v>-41.537669999999999</c:v>
                </c:pt>
                <c:pt idx="11">
                  <c:v>-41.0929</c:v>
                </c:pt>
                <c:pt idx="12">
                  <c:v>-40.690370000000001</c:v>
                </c:pt>
                <c:pt idx="13">
                  <c:v>-39.91621</c:v>
                </c:pt>
                <c:pt idx="14">
                  <c:v>-38.585270000000001</c:v>
                </c:pt>
                <c:pt idx="15">
                  <c:v>-36.993690000000001</c:v>
                </c:pt>
                <c:pt idx="16">
                  <c:v>-35.529000000000003</c:v>
                </c:pt>
                <c:pt idx="17">
                  <c:v>-34.318440000000002</c:v>
                </c:pt>
                <c:pt idx="18">
                  <c:v>-33.32705</c:v>
                </c:pt>
                <c:pt idx="19">
                  <c:v>-32.552720000000001</c:v>
                </c:pt>
                <c:pt idx="20">
                  <c:v>-31.970849999999995</c:v>
                </c:pt>
                <c:pt idx="21">
                  <c:v>-31.38062</c:v>
                </c:pt>
                <c:pt idx="22">
                  <c:v>-30.491899999999998</c:v>
                </c:pt>
                <c:pt idx="23">
                  <c:v>-29.213389999999997</c:v>
                </c:pt>
                <c:pt idx="24">
                  <c:v>-27.736560000000004</c:v>
                </c:pt>
                <c:pt idx="25">
                  <c:v>-26.309199999999997</c:v>
                </c:pt>
                <c:pt idx="26">
                  <c:v>-25.050560000000001</c:v>
                </c:pt>
                <c:pt idx="27">
                  <c:v>-23.98489</c:v>
                </c:pt>
                <c:pt idx="28">
                  <c:v>-23.123619999999999</c:v>
                </c:pt>
                <c:pt idx="29">
                  <c:v>-22.433499999999999</c:v>
                </c:pt>
                <c:pt idx="30">
                  <c:v>-21.764690000000002</c:v>
                </c:pt>
                <c:pt idx="31">
                  <c:v>-20.903639999999999</c:v>
                </c:pt>
                <c:pt idx="32">
                  <c:v>-19.742249999999999</c:v>
                </c:pt>
                <c:pt idx="33">
                  <c:v>-18.36581</c:v>
                </c:pt>
                <c:pt idx="34">
                  <c:v>-16.954550000000001</c:v>
                </c:pt>
                <c:pt idx="35">
                  <c:v>-15.647690000000001</c:v>
                </c:pt>
                <c:pt idx="36">
                  <c:v>-14.51071</c:v>
                </c:pt>
                <c:pt idx="37">
                  <c:v>-13.564260000000001</c:v>
                </c:pt>
                <c:pt idx="38">
                  <c:v>-12.782299999999999</c:v>
                </c:pt>
                <c:pt idx="39">
                  <c:v>-12.063560000000001</c:v>
                </c:pt>
                <c:pt idx="40">
                  <c:v>-11.251099999999999</c:v>
                </c:pt>
                <c:pt idx="41">
                  <c:v>-10.223229999999999</c:v>
                </c:pt>
                <c:pt idx="42">
                  <c:v>-8.976953</c:v>
                </c:pt>
                <c:pt idx="43">
                  <c:v>-7.616003000000001</c:v>
                </c:pt>
                <c:pt idx="44">
                  <c:v>-6.2723089999999999</c:v>
                </c:pt>
                <c:pt idx="45">
                  <c:v>-5.0491840000000003</c:v>
                </c:pt>
                <c:pt idx="46">
                  <c:v>-4.004251</c:v>
                </c:pt>
                <c:pt idx="47">
                  <c:v>-3.1363690000000002</c:v>
                </c:pt>
                <c:pt idx="48">
                  <c:v>-2.3749820000000001</c:v>
                </c:pt>
                <c:pt idx="49">
                  <c:v>-1.5996520000000001</c:v>
                </c:pt>
                <c:pt idx="50">
                  <c:v>-0.69474159999999996</c:v>
                </c:pt>
                <c:pt idx="51">
                  <c:v>0.39519999999998845</c:v>
                </c:pt>
                <c:pt idx="52">
                  <c:v>1.648399999999981</c:v>
                </c:pt>
                <c:pt idx="53">
                  <c:v>2.9873000000000047</c:v>
                </c:pt>
                <c:pt idx="54">
                  <c:v>4.3050999999999817</c:v>
                </c:pt>
                <c:pt idx="55">
                  <c:v>5.4927999999999884</c:v>
                </c:pt>
                <c:pt idx="56">
                  <c:v>6.4855999999999767</c:v>
                </c:pt>
                <c:pt idx="57">
                  <c:v>7.3057999999999765</c:v>
                </c:pt>
                <c:pt idx="58">
                  <c:v>8.0511999999999944</c:v>
                </c:pt>
                <c:pt idx="59">
                  <c:v>8.8355000000000246</c:v>
                </c:pt>
                <c:pt idx="60">
                  <c:v>9.7411999999999921</c:v>
                </c:pt>
                <c:pt idx="61">
                  <c:v>10.815200000000004</c:v>
                </c:pt>
                <c:pt idx="62">
                  <c:v>12.069900000000018</c:v>
                </c:pt>
                <c:pt idx="63">
                  <c:v>13.457100000000025</c:v>
                </c:pt>
                <c:pt idx="64">
                  <c:v>14.844299999999976</c:v>
                </c:pt>
                <c:pt idx="65">
                  <c:v>16.062700000000007</c:v>
                </c:pt>
                <c:pt idx="66">
                  <c:v>17.016599999999983</c:v>
                </c:pt>
                <c:pt idx="67">
                  <c:v>17.744399999999985</c:v>
                </c:pt>
                <c:pt idx="68">
                  <c:v>18.365900000000011</c:v>
                </c:pt>
                <c:pt idx="69">
                  <c:v>19.009900000000016</c:v>
                </c:pt>
                <c:pt idx="70">
                  <c:v>19.806899999999985</c:v>
                </c:pt>
                <c:pt idx="71">
                  <c:v>20.893199999999979</c:v>
                </c:pt>
                <c:pt idx="72">
                  <c:v>22.332299999999975</c:v>
                </c:pt>
                <c:pt idx="73">
                  <c:v>24.002799999999979</c:v>
                </c:pt>
                <c:pt idx="74">
                  <c:v>25.593399999999974</c:v>
                </c:pt>
                <c:pt idx="75">
                  <c:v>26.781499999999994</c:v>
                </c:pt>
                <c:pt idx="76">
                  <c:v>27.454099999999983</c:v>
                </c:pt>
                <c:pt idx="77">
                  <c:v>27.750499999999988</c:v>
                </c:pt>
                <c:pt idx="78">
                  <c:v>27.948899999999981</c:v>
                </c:pt>
                <c:pt idx="79">
                  <c:v>28.377999999999986</c:v>
                </c:pt>
                <c:pt idx="80">
                  <c:v>29.353799999999978</c:v>
                </c:pt>
                <c:pt idx="81">
                  <c:v>31.031299999999987</c:v>
                </c:pt>
                <c:pt idx="82">
                  <c:v>33.208900000000028</c:v>
                </c:pt>
                <c:pt idx="83">
                  <c:v>35.276900000000012</c:v>
                </c:pt>
                <c:pt idx="84">
                  <c:v>36.524000000000001</c:v>
                </c:pt>
                <c:pt idx="85">
                  <c:v>36.709499999999991</c:v>
                </c:pt>
                <c:pt idx="86">
                  <c:v>36.276299999999992</c:v>
                </c:pt>
                <c:pt idx="87">
                  <c:v>35.961999999999989</c:v>
                </c:pt>
                <c:pt idx="88">
                  <c:v>36.381700000000023</c:v>
                </c:pt>
                <c:pt idx="89">
                  <c:v>37.86669999999998</c:v>
                </c:pt>
                <c:pt idx="90">
                  <c:v>40.333799999999997</c:v>
                </c:pt>
                <c:pt idx="91">
                  <c:v>43.080399999999997</c:v>
                </c:pt>
                <c:pt idx="92">
                  <c:v>44.872099999999989</c:v>
                </c:pt>
                <c:pt idx="93">
                  <c:v>44.948699999999974</c:v>
                </c:pt>
                <c:pt idx="94">
                  <c:v>43.979899999999986</c:v>
                </c:pt>
                <c:pt idx="95">
                  <c:v>43.276999999999987</c:v>
                </c:pt>
                <c:pt idx="96">
                  <c:v>43.663900000000012</c:v>
                </c:pt>
                <c:pt idx="97">
                  <c:v>45.291999999999973</c:v>
                </c:pt>
                <c:pt idx="98">
                  <c:v>47.799500000000023</c:v>
                </c:pt>
                <c:pt idx="99">
                  <c:v>50.320699999999988</c:v>
                </c:pt>
                <c:pt idx="100">
                  <c:v>51.704999999999984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8-4B19-BC70-B81D08325D35}"/>
            </c:ext>
          </c:extLst>
        </c:ser>
        <c:ser>
          <c:idx val="1"/>
          <c:order val="1"/>
          <c:tx>
            <c:v>Setpoint Angle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'rollMovement (2)'!$A$9:$CW$9</c:f>
              <c:numCache>
                <c:formatCode>0.0</c:formatCode>
                <c:ptCount val="101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-29.600010000000005</c:v>
                </c:pt>
                <c:pt idx="13">
                  <c:v>-28.800009999999997</c:v>
                </c:pt>
                <c:pt idx="14">
                  <c:v>-28.000009999999996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-25.600010000000005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-14.400020000000001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7.1999799999999992</c:v>
                </c:pt>
                <c:pt idx="59">
                  <c:v>7.999979999999999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13.599979999999999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15.999979999999999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26.399970000000003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28.799969999999995</c:v>
                </c:pt>
                <c:pt idx="86">
                  <c:v>29.599969999999995</c:v>
                </c:pt>
                <c:pt idx="87">
                  <c:v>30.399970000000003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8-4B19-BC70-B81D08325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037775"/>
        <c:axId val="1875038255"/>
      </c:lineChart>
      <c:catAx>
        <c:axId val="1875037775"/>
        <c:scaling>
          <c:orientation val="minMax"/>
        </c:scaling>
        <c:delete val="1"/>
        <c:axPos val="b"/>
        <c:majorTickMark val="none"/>
        <c:minorTickMark val="none"/>
        <c:tickLblPos val="nextTo"/>
        <c:crossAx val="1875038255"/>
        <c:crosses val="autoZero"/>
        <c:auto val="1"/>
        <c:lblAlgn val="ctr"/>
        <c:lblOffset val="100"/>
        <c:noMultiLvlLbl val="0"/>
      </c:catAx>
      <c:valAx>
        <c:axId val="18750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for Roll</a:t>
                </a:r>
                <a:r>
                  <a:rPr lang="fr-FR" baseline="0"/>
                  <a:t> (°)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503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Cable Length for roll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Cable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'rollMovement (2)'!$9:$9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-29.600010000000005</c:v>
                </c:pt>
                <c:pt idx="13">
                  <c:v>-28.800009999999997</c:v>
                </c:pt>
                <c:pt idx="14">
                  <c:v>-28.000009999999996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-25.600010000000005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-14.400020000000001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7.1999799999999992</c:v>
                </c:pt>
                <c:pt idx="59">
                  <c:v>7.999979999999999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13.599979999999999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15.999979999999999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26.399970000000003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28.799969999999995</c:v>
                </c:pt>
                <c:pt idx="86">
                  <c:v>29.599969999999995</c:v>
                </c:pt>
                <c:pt idx="87">
                  <c:v>30.399970000000003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'rollMovement (2)'!$A$11:$CW$11</c:f>
              <c:numCache>
                <c:formatCode>General</c:formatCode>
                <c:ptCount val="101"/>
                <c:pt idx="0">
                  <c:v>281.73</c:v>
                </c:pt>
                <c:pt idx="1">
                  <c:v>281.01850000000002</c:v>
                </c:pt>
                <c:pt idx="2">
                  <c:v>280.2953</c:v>
                </c:pt>
                <c:pt idx="3">
                  <c:v>279.56049999999999</c:v>
                </c:pt>
                <c:pt idx="4">
                  <c:v>278.81420000000003</c:v>
                </c:pt>
                <c:pt idx="5">
                  <c:v>278.05650000000003</c:v>
                </c:pt>
                <c:pt idx="6">
                  <c:v>277.28739999999999</c:v>
                </c:pt>
                <c:pt idx="7">
                  <c:v>276.50689999999997</c:v>
                </c:pt>
                <c:pt idx="8">
                  <c:v>275.71510000000001</c:v>
                </c:pt>
                <c:pt idx="9">
                  <c:v>274.91219999999998</c:v>
                </c:pt>
                <c:pt idx="10">
                  <c:v>274.09809999999999</c:v>
                </c:pt>
                <c:pt idx="11">
                  <c:v>273.27280000000002</c:v>
                </c:pt>
                <c:pt idx="12">
                  <c:v>272.43639999999999</c:v>
                </c:pt>
                <c:pt idx="13">
                  <c:v>271.58909999999997</c:v>
                </c:pt>
                <c:pt idx="14">
                  <c:v>270.73090000000002</c:v>
                </c:pt>
                <c:pt idx="15">
                  <c:v>269.86180000000002</c:v>
                </c:pt>
                <c:pt idx="16">
                  <c:v>268.9819</c:v>
                </c:pt>
                <c:pt idx="17">
                  <c:v>268.09120000000001</c:v>
                </c:pt>
                <c:pt idx="18">
                  <c:v>267.18990000000002</c:v>
                </c:pt>
                <c:pt idx="19">
                  <c:v>266.27800000000002</c:v>
                </c:pt>
                <c:pt idx="20">
                  <c:v>265.35559999999998</c:v>
                </c:pt>
                <c:pt idx="21">
                  <c:v>264.42270000000002</c:v>
                </c:pt>
                <c:pt idx="22">
                  <c:v>263.4794</c:v>
                </c:pt>
                <c:pt idx="23">
                  <c:v>262.5258</c:v>
                </c:pt>
                <c:pt idx="24">
                  <c:v>261.56200000000001</c:v>
                </c:pt>
                <c:pt idx="25">
                  <c:v>260.58800000000002</c:v>
                </c:pt>
                <c:pt idx="26">
                  <c:v>259.60390000000001</c:v>
                </c:pt>
                <c:pt idx="27">
                  <c:v>258.60989999999998</c:v>
                </c:pt>
                <c:pt idx="28">
                  <c:v>257.60579999999999</c:v>
                </c:pt>
                <c:pt idx="29">
                  <c:v>256.59199999999998</c:v>
                </c:pt>
                <c:pt idx="30">
                  <c:v>255.56829999999999</c:v>
                </c:pt>
                <c:pt idx="31">
                  <c:v>254.535</c:v>
                </c:pt>
                <c:pt idx="32">
                  <c:v>253.49209999999999</c:v>
                </c:pt>
                <c:pt idx="33">
                  <c:v>252.43969999999999</c:v>
                </c:pt>
                <c:pt idx="34">
                  <c:v>251.37780000000001</c:v>
                </c:pt>
                <c:pt idx="35">
                  <c:v>250.3066</c:v>
                </c:pt>
                <c:pt idx="36">
                  <c:v>249.22620000000001</c:v>
                </c:pt>
                <c:pt idx="37">
                  <c:v>248.13650000000001</c:v>
                </c:pt>
                <c:pt idx="38">
                  <c:v>247.03790000000001</c:v>
                </c:pt>
                <c:pt idx="39">
                  <c:v>245.93020000000001</c:v>
                </c:pt>
                <c:pt idx="40">
                  <c:v>244.81370000000001</c:v>
                </c:pt>
                <c:pt idx="41">
                  <c:v>243.6884</c:v>
                </c:pt>
                <c:pt idx="42">
                  <c:v>242.55439999999999</c:v>
                </c:pt>
                <c:pt idx="43">
                  <c:v>241.4118</c:v>
                </c:pt>
                <c:pt idx="44">
                  <c:v>240.26079999999999</c:v>
                </c:pt>
                <c:pt idx="45">
                  <c:v>239.10130000000001</c:v>
                </c:pt>
                <c:pt idx="46">
                  <c:v>237.93369999999999</c:v>
                </c:pt>
                <c:pt idx="47">
                  <c:v>236.7578</c:v>
                </c:pt>
                <c:pt idx="48">
                  <c:v>235.57390000000001</c:v>
                </c:pt>
                <c:pt idx="49">
                  <c:v>234.38200000000001</c:v>
                </c:pt>
                <c:pt idx="50">
                  <c:v>233.1824</c:v>
                </c:pt>
                <c:pt idx="51">
                  <c:v>231.97499999999999</c:v>
                </c:pt>
                <c:pt idx="52">
                  <c:v>230.76</c:v>
                </c:pt>
                <c:pt idx="53">
                  <c:v>229.53749999999999</c:v>
                </c:pt>
                <c:pt idx="54">
                  <c:v>228.30760000000001</c:v>
                </c:pt>
                <c:pt idx="55">
                  <c:v>227.07050000000001</c:v>
                </c:pt>
                <c:pt idx="56">
                  <c:v>225.8263</c:v>
                </c:pt>
                <c:pt idx="57">
                  <c:v>224.57509999999999</c:v>
                </c:pt>
                <c:pt idx="58">
                  <c:v>223.31710000000001</c:v>
                </c:pt>
                <c:pt idx="59">
                  <c:v>222.0523</c:v>
                </c:pt>
                <c:pt idx="60">
                  <c:v>220.7809</c:v>
                </c:pt>
                <c:pt idx="61">
                  <c:v>219.50309999999999</c:v>
                </c:pt>
                <c:pt idx="62">
                  <c:v>218.21889999999999</c:v>
                </c:pt>
                <c:pt idx="63">
                  <c:v>216.92850000000001</c:v>
                </c:pt>
                <c:pt idx="64">
                  <c:v>215.63220000000001</c:v>
                </c:pt>
                <c:pt idx="65">
                  <c:v>214.32990000000001</c:v>
                </c:pt>
                <c:pt idx="66">
                  <c:v>213.02180000000001</c:v>
                </c:pt>
                <c:pt idx="67">
                  <c:v>211.70820000000001</c:v>
                </c:pt>
                <c:pt idx="68">
                  <c:v>210.38910000000001</c:v>
                </c:pt>
                <c:pt idx="69">
                  <c:v>209.06479999999999</c:v>
                </c:pt>
                <c:pt idx="70">
                  <c:v>207.73519999999999</c:v>
                </c:pt>
                <c:pt idx="71">
                  <c:v>206.4008</c:v>
                </c:pt>
                <c:pt idx="72">
                  <c:v>205.0615</c:v>
                </c:pt>
                <c:pt idx="73">
                  <c:v>203.7176</c:v>
                </c:pt>
                <c:pt idx="74">
                  <c:v>202.36930000000001</c:v>
                </c:pt>
                <c:pt idx="75">
                  <c:v>201.01669999999999</c:v>
                </c:pt>
                <c:pt idx="76">
                  <c:v>199.65989999999999</c:v>
                </c:pt>
                <c:pt idx="77">
                  <c:v>198.29929999999999</c:v>
                </c:pt>
                <c:pt idx="78">
                  <c:v>196.9349</c:v>
                </c:pt>
                <c:pt idx="79">
                  <c:v>195.56700000000001</c:v>
                </c:pt>
                <c:pt idx="80">
                  <c:v>194.19569999999999</c:v>
                </c:pt>
                <c:pt idx="81">
                  <c:v>192.82130000000001</c:v>
                </c:pt>
                <c:pt idx="82">
                  <c:v>191.44390000000001</c:v>
                </c:pt>
                <c:pt idx="83">
                  <c:v>190.06379999999999</c:v>
                </c:pt>
                <c:pt idx="84">
                  <c:v>188.68119999999999</c:v>
                </c:pt>
                <c:pt idx="85">
                  <c:v>187.2962</c:v>
                </c:pt>
                <c:pt idx="86">
                  <c:v>185.9092</c:v>
                </c:pt>
                <c:pt idx="87">
                  <c:v>184.52029999999999</c:v>
                </c:pt>
                <c:pt idx="88">
                  <c:v>183.12979999999999</c:v>
                </c:pt>
                <c:pt idx="89">
                  <c:v>181.73779999999999</c:v>
                </c:pt>
                <c:pt idx="90">
                  <c:v>180.34479999999999</c:v>
                </c:pt>
                <c:pt idx="91">
                  <c:v>178.95079999999999</c:v>
                </c:pt>
                <c:pt idx="92">
                  <c:v>177.55619999999999</c:v>
                </c:pt>
                <c:pt idx="93">
                  <c:v>176.16120000000001</c:v>
                </c:pt>
                <c:pt idx="94">
                  <c:v>174.76599999999999</c:v>
                </c:pt>
                <c:pt idx="95">
                  <c:v>173.37100000000001</c:v>
                </c:pt>
                <c:pt idx="96">
                  <c:v>171.97649999999999</c:v>
                </c:pt>
                <c:pt idx="97">
                  <c:v>170.58260000000001</c:v>
                </c:pt>
                <c:pt idx="98">
                  <c:v>169.18979999999999</c:v>
                </c:pt>
                <c:pt idx="99">
                  <c:v>167.79820000000001</c:v>
                </c:pt>
                <c:pt idx="100">
                  <c:v>166.4083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7-4445-B1B3-7552AD082776}"/>
            </c:ext>
          </c:extLst>
        </c:ser>
        <c:ser>
          <c:idx val="1"/>
          <c:order val="1"/>
          <c:tx>
            <c:v>Cable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'rollMovement (2)'!$9:$9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-29.600010000000005</c:v>
                </c:pt>
                <c:pt idx="13">
                  <c:v>-28.800009999999997</c:v>
                </c:pt>
                <c:pt idx="14">
                  <c:v>-28.000009999999996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-25.600010000000005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-14.400020000000001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7.1999799999999992</c:v>
                </c:pt>
                <c:pt idx="59">
                  <c:v>7.999979999999999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13.599979999999999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15.999979999999999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26.399970000000003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28.799969999999995</c:v>
                </c:pt>
                <c:pt idx="86">
                  <c:v>29.599969999999995</c:v>
                </c:pt>
                <c:pt idx="87">
                  <c:v>30.399970000000003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'rollMovement (2)'!$A$12:$CW$12</c:f>
              <c:numCache>
                <c:formatCode>General</c:formatCode>
                <c:ptCount val="101"/>
                <c:pt idx="0">
                  <c:v>286.04689999999999</c:v>
                </c:pt>
                <c:pt idx="1">
                  <c:v>285.34609999999998</c:v>
                </c:pt>
                <c:pt idx="2">
                  <c:v>284.63389999999998</c:v>
                </c:pt>
                <c:pt idx="3">
                  <c:v>283.91030000000001</c:v>
                </c:pt>
                <c:pt idx="4">
                  <c:v>283.1755</c:v>
                </c:pt>
                <c:pt idx="5">
                  <c:v>282.42950000000002</c:v>
                </c:pt>
                <c:pt idx="6">
                  <c:v>281.67230000000001</c:v>
                </c:pt>
                <c:pt idx="7">
                  <c:v>280.90410000000003</c:v>
                </c:pt>
                <c:pt idx="8">
                  <c:v>280.12470000000002</c:v>
                </c:pt>
                <c:pt idx="9">
                  <c:v>279.33440000000002</c:v>
                </c:pt>
                <c:pt idx="10">
                  <c:v>278.53320000000002</c:v>
                </c:pt>
                <c:pt idx="11">
                  <c:v>277.72109999999998</c:v>
                </c:pt>
                <c:pt idx="12">
                  <c:v>276.89819999999997</c:v>
                </c:pt>
                <c:pt idx="13">
                  <c:v>276.06459999999998</c:v>
                </c:pt>
                <c:pt idx="14">
                  <c:v>275.22030000000001</c:v>
                </c:pt>
                <c:pt idx="15">
                  <c:v>274.36540000000002</c:v>
                </c:pt>
                <c:pt idx="16">
                  <c:v>273.5</c:v>
                </c:pt>
                <c:pt idx="17">
                  <c:v>272.6241</c:v>
                </c:pt>
                <c:pt idx="18">
                  <c:v>271.73790000000002</c:v>
                </c:pt>
                <c:pt idx="19">
                  <c:v>270.84120000000001</c:v>
                </c:pt>
                <c:pt idx="20">
                  <c:v>269.93439999999998</c:v>
                </c:pt>
                <c:pt idx="21">
                  <c:v>269.01740000000001</c:v>
                </c:pt>
                <c:pt idx="22">
                  <c:v>268.09030000000001</c:v>
                </c:pt>
                <c:pt idx="23">
                  <c:v>267.15320000000003</c:v>
                </c:pt>
                <c:pt idx="24">
                  <c:v>266.20609999999999</c:v>
                </c:pt>
                <c:pt idx="25">
                  <c:v>265.2491</c:v>
                </c:pt>
                <c:pt idx="26">
                  <c:v>264.2824</c:v>
                </c:pt>
                <c:pt idx="27">
                  <c:v>263.30599999999998</c:v>
                </c:pt>
                <c:pt idx="28">
                  <c:v>262.32</c:v>
                </c:pt>
                <c:pt idx="29">
                  <c:v>261.32440000000003</c:v>
                </c:pt>
                <c:pt idx="30">
                  <c:v>260.31939999999997</c:v>
                </c:pt>
                <c:pt idx="31">
                  <c:v>259.30500000000001</c:v>
                </c:pt>
                <c:pt idx="32">
                  <c:v>258.28129999999999</c:v>
                </c:pt>
                <c:pt idx="33">
                  <c:v>257.24849999999998</c:v>
                </c:pt>
                <c:pt idx="34">
                  <c:v>256.20650000000001</c:v>
                </c:pt>
                <c:pt idx="35">
                  <c:v>255.15559999999999</c:v>
                </c:pt>
                <c:pt idx="36">
                  <c:v>254.0958</c:v>
                </c:pt>
                <c:pt idx="37">
                  <c:v>253.02709999999999</c:v>
                </c:pt>
                <c:pt idx="38">
                  <c:v>251.94980000000001</c:v>
                </c:pt>
                <c:pt idx="39">
                  <c:v>250.8638</c:v>
                </c:pt>
                <c:pt idx="40">
                  <c:v>249.76939999999999</c:v>
                </c:pt>
                <c:pt idx="41">
                  <c:v>248.66650000000001</c:v>
                </c:pt>
                <c:pt idx="42">
                  <c:v>247.55529999999999</c:v>
                </c:pt>
                <c:pt idx="43">
                  <c:v>246.4359</c:v>
                </c:pt>
                <c:pt idx="44">
                  <c:v>245.30840000000001</c:v>
                </c:pt>
                <c:pt idx="45">
                  <c:v>244.173</c:v>
                </c:pt>
                <c:pt idx="46">
                  <c:v>243.02969999999999</c:v>
                </c:pt>
                <c:pt idx="47">
                  <c:v>241.87860000000001</c:v>
                </c:pt>
                <c:pt idx="48">
                  <c:v>240.7199</c:v>
                </c:pt>
                <c:pt idx="49">
                  <c:v>239.55359999999999</c:v>
                </c:pt>
                <c:pt idx="50">
                  <c:v>238.38</c:v>
                </c:pt>
                <c:pt idx="51">
                  <c:v>237.19900000000001</c:v>
                </c:pt>
                <c:pt idx="52">
                  <c:v>236.01089999999999</c:v>
                </c:pt>
                <c:pt idx="53">
                  <c:v>234.8158</c:v>
                </c:pt>
                <c:pt idx="54">
                  <c:v>233.61369999999999</c:v>
                </c:pt>
                <c:pt idx="55">
                  <c:v>232.4049</c:v>
                </c:pt>
                <c:pt idx="56">
                  <c:v>231.18940000000001</c:v>
                </c:pt>
                <c:pt idx="57">
                  <c:v>229.9674</c:v>
                </c:pt>
                <c:pt idx="58">
                  <c:v>228.739</c:v>
                </c:pt>
                <c:pt idx="59">
                  <c:v>227.5044</c:v>
                </c:pt>
                <c:pt idx="60">
                  <c:v>226.2636</c:v>
                </c:pt>
                <c:pt idx="61">
                  <c:v>225.01689999999999</c:v>
                </c:pt>
                <c:pt idx="62">
                  <c:v>223.76439999999999</c:v>
                </c:pt>
                <c:pt idx="63">
                  <c:v>222.50620000000001</c:v>
                </c:pt>
                <c:pt idx="64">
                  <c:v>221.24250000000001</c:v>
                </c:pt>
                <c:pt idx="65">
                  <c:v>219.9734</c:v>
                </c:pt>
                <c:pt idx="66">
                  <c:v>218.69909999999999</c:v>
                </c:pt>
                <c:pt idx="67">
                  <c:v>217.41980000000001</c:v>
                </c:pt>
                <c:pt idx="68">
                  <c:v>216.13550000000001</c:v>
                </c:pt>
                <c:pt idx="69">
                  <c:v>214.8466</c:v>
                </c:pt>
                <c:pt idx="70">
                  <c:v>213.5531</c:v>
                </c:pt>
                <c:pt idx="71">
                  <c:v>212.2552</c:v>
                </c:pt>
                <c:pt idx="72">
                  <c:v>210.95310000000001</c:v>
                </c:pt>
                <c:pt idx="73">
                  <c:v>209.64699999999999</c:v>
                </c:pt>
                <c:pt idx="74">
                  <c:v>208.33709999999999</c:v>
                </c:pt>
                <c:pt idx="75">
                  <c:v>207.02340000000001</c:v>
                </c:pt>
                <c:pt idx="76">
                  <c:v>205.7063</c:v>
                </c:pt>
                <c:pt idx="77">
                  <c:v>204.38589999999999</c:v>
                </c:pt>
                <c:pt idx="78">
                  <c:v>203.0624</c:v>
                </c:pt>
                <c:pt idx="79">
                  <c:v>201.73609999999999</c:v>
                </c:pt>
                <c:pt idx="80">
                  <c:v>200.40700000000001</c:v>
                </c:pt>
                <c:pt idx="81">
                  <c:v>199.07550000000001</c:v>
                </c:pt>
                <c:pt idx="82">
                  <c:v>197.74170000000001</c:v>
                </c:pt>
                <c:pt idx="83">
                  <c:v>196.4058</c:v>
                </c:pt>
                <c:pt idx="84">
                  <c:v>195.06809999999999</c:v>
                </c:pt>
                <c:pt idx="85">
                  <c:v>193.72890000000001</c:v>
                </c:pt>
                <c:pt idx="86">
                  <c:v>192.38820000000001</c:v>
                </c:pt>
                <c:pt idx="87">
                  <c:v>191.04640000000001</c:v>
                </c:pt>
                <c:pt idx="88">
                  <c:v>189.7038</c:v>
                </c:pt>
                <c:pt idx="89">
                  <c:v>188.3604</c:v>
                </c:pt>
                <c:pt idx="90">
                  <c:v>187.01669999999999</c:v>
                </c:pt>
                <c:pt idx="91">
                  <c:v>185.6728</c:v>
                </c:pt>
                <c:pt idx="92">
                  <c:v>184.32910000000001</c:v>
                </c:pt>
                <c:pt idx="93">
                  <c:v>182.98570000000001</c:v>
                </c:pt>
                <c:pt idx="94">
                  <c:v>181.6429</c:v>
                </c:pt>
                <c:pt idx="95">
                  <c:v>180.30119999999999</c:v>
                </c:pt>
                <c:pt idx="96">
                  <c:v>178.9606</c:v>
                </c:pt>
                <c:pt idx="97">
                  <c:v>177.6216</c:v>
                </c:pt>
                <c:pt idx="98">
                  <c:v>176.28440000000001</c:v>
                </c:pt>
                <c:pt idx="99">
                  <c:v>174.94929999999999</c:v>
                </c:pt>
                <c:pt idx="100">
                  <c:v>173.61660000000001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7-4445-B1B3-7552AD082776}"/>
            </c:ext>
          </c:extLst>
        </c:ser>
        <c:ser>
          <c:idx val="2"/>
          <c:order val="2"/>
          <c:tx>
            <c:v>Cable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'rollMovement (2)'!$9:$9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-29.600010000000005</c:v>
                </c:pt>
                <c:pt idx="13">
                  <c:v>-28.800009999999997</c:v>
                </c:pt>
                <c:pt idx="14">
                  <c:v>-28.000009999999996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-25.600010000000005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-14.400020000000001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7.1999799999999992</c:v>
                </c:pt>
                <c:pt idx="59">
                  <c:v>7.999979999999999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13.599979999999999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15.999979999999999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26.399970000000003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28.799969999999995</c:v>
                </c:pt>
                <c:pt idx="86">
                  <c:v>29.599969999999995</c:v>
                </c:pt>
                <c:pt idx="87">
                  <c:v>30.399970000000003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'rollMovement (2)'!$A$13:$CW$13</c:f>
              <c:numCache>
                <c:formatCode>General</c:formatCode>
                <c:ptCount val="101"/>
                <c:pt idx="0">
                  <c:v>173.6165</c:v>
                </c:pt>
                <c:pt idx="1">
                  <c:v>174.94919999999999</c:v>
                </c:pt>
                <c:pt idx="2">
                  <c:v>176.2843</c:v>
                </c:pt>
                <c:pt idx="3">
                  <c:v>177.6215</c:v>
                </c:pt>
                <c:pt idx="4">
                  <c:v>178.9606</c:v>
                </c:pt>
                <c:pt idx="5">
                  <c:v>180.30109999999999</c:v>
                </c:pt>
                <c:pt idx="6">
                  <c:v>181.6429</c:v>
                </c:pt>
                <c:pt idx="7">
                  <c:v>182.98560000000001</c:v>
                </c:pt>
                <c:pt idx="8">
                  <c:v>184.32900000000001</c:v>
                </c:pt>
                <c:pt idx="9">
                  <c:v>185.67269999999999</c:v>
                </c:pt>
                <c:pt idx="10">
                  <c:v>187.01660000000001</c:v>
                </c:pt>
                <c:pt idx="11">
                  <c:v>188.3603</c:v>
                </c:pt>
                <c:pt idx="12">
                  <c:v>189.7037</c:v>
                </c:pt>
                <c:pt idx="13">
                  <c:v>191.04640000000001</c:v>
                </c:pt>
                <c:pt idx="14">
                  <c:v>192.38820000000001</c:v>
                </c:pt>
                <c:pt idx="15">
                  <c:v>193.72880000000001</c:v>
                </c:pt>
                <c:pt idx="16">
                  <c:v>195.06809999999999</c:v>
                </c:pt>
                <c:pt idx="17">
                  <c:v>196.4057</c:v>
                </c:pt>
                <c:pt idx="18">
                  <c:v>197.74160000000001</c:v>
                </c:pt>
                <c:pt idx="19">
                  <c:v>199.0754</c:v>
                </c:pt>
                <c:pt idx="20">
                  <c:v>200.40690000000001</c:v>
                </c:pt>
                <c:pt idx="21">
                  <c:v>201.73599999999999</c:v>
                </c:pt>
                <c:pt idx="22">
                  <c:v>203.0624</c:v>
                </c:pt>
                <c:pt idx="23">
                  <c:v>204.38579999999999</c:v>
                </c:pt>
                <c:pt idx="24">
                  <c:v>205.7063</c:v>
                </c:pt>
                <c:pt idx="25">
                  <c:v>207.02340000000001</c:v>
                </c:pt>
                <c:pt idx="26">
                  <c:v>208.33699999999999</c:v>
                </c:pt>
                <c:pt idx="27">
                  <c:v>209.64699999999999</c:v>
                </c:pt>
                <c:pt idx="28">
                  <c:v>210.95310000000001</c:v>
                </c:pt>
                <c:pt idx="29">
                  <c:v>212.2552</c:v>
                </c:pt>
                <c:pt idx="30">
                  <c:v>213.553</c:v>
                </c:pt>
                <c:pt idx="31">
                  <c:v>214.84649999999999</c:v>
                </c:pt>
                <c:pt idx="32">
                  <c:v>216.13550000000001</c:v>
                </c:pt>
                <c:pt idx="33">
                  <c:v>217.41970000000001</c:v>
                </c:pt>
                <c:pt idx="34">
                  <c:v>218.69909999999999</c:v>
                </c:pt>
                <c:pt idx="35">
                  <c:v>219.97329999999999</c:v>
                </c:pt>
                <c:pt idx="36">
                  <c:v>221.2424</c:v>
                </c:pt>
                <c:pt idx="37">
                  <c:v>222.5061</c:v>
                </c:pt>
                <c:pt idx="38">
                  <c:v>223.76429999999999</c:v>
                </c:pt>
                <c:pt idx="39">
                  <c:v>225.01679999999999</c:v>
                </c:pt>
                <c:pt idx="40">
                  <c:v>226.26349999999999</c:v>
                </c:pt>
                <c:pt idx="41">
                  <c:v>227.5043</c:v>
                </c:pt>
                <c:pt idx="42">
                  <c:v>228.7389</c:v>
                </c:pt>
                <c:pt idx="43">
                  <c:v>229.96729999999999</c:v>
                </c:pt>
                <c:pt idx="44">
                  <c:v>231.1893</c:v>
                </c:pt>
                <c:pt idx="45">
                  <c:v>232.40479999999999</c:v>
                </c:pt>
                <c:pt idx="46">
                  <c:v>233.61369999999999</c:v>
                </c:pt>
                <c:pt idx="47">
                  <c:v>234.81569999999999</c:v>
                </c:pt>
                <c:pt idx="48">
                  <c:v>236.01089999999999</c:v>
                </c:pt>
                <c:pt idx="49">
                  <c:v>237.19900000000001</c:v>
                </c:pt>
                <c:pt idx="50">
                  <c:v>238.37989999999999</c:v>
                </c:pt>
                <c:pt idx="51">
                  <c:v>239.55359999999999</c:v>
                </c:pt>
                <c:pt idx="52">
                  <c:v>240.71979999999999</c:v>
                </c:pt>
                <c:pt idx="53">
                  <c:v>241.8785</c:v>
                </c:pt>
                <c:pt idx="54">
                  <c:v>243.02959999999999</c:v>
                </c:pt>
                <c:pt idx="55">
                  <c:v>244.1729</c:v>
                </c:pt>
                <c:pt idx="56">
                  <c:v>245.30840000000001</c:v>
                </c:pt>
                <c:pt idx="57">
                  <c:v>246.4359</c:v>
                </c:pt>
                <c:pt idx="58">
                  <c:v>247.55520000000001</c:v>
                </c:pt>
                <c:pt idx="59">
                  <c:v>248.66640000000001</c:v>
                </c:pt>
                <c:pt idx="60">
                  <c:v>249.76929999999999</c:v>
                </c:pt>
                <c:pt idx="61">
                  <c:v>250.8638</c:v>
                </c:pt>
                <c:pt idx="62">
                  <c:v>251.94980000000001</c:v>
                </c:pt>
                <c:pt idx="63">
                  <c:v>253.02709999999999</c:v>
                </c:pt>
                <c:pt idx="64">
                  <c:v>254.09569999999999</c:v>
                </c:pt>
                <c:pt idx="65">
                  <c:v>255.15559999999999</c:v>
                </c:pt>
                <c:pt idx="66">
                  <c:v>256.20650000000001</c:v>
                </c:pt>
                <c:pt idx="67">
                  <c:v>257.2484</c:v>
                </c:pt>
                <c:pt idx="68">
                  <c:v>258.28129999999999</c:v>
                </c:pt>
                <c:pt idx="69">
                  <c:v>259.30489999999998</c:v>
                </c:pt>
                <c:pt idx="70">
                  <c:v>260.3193</c:v>
                </c:pt>
                <c:pt idx="71">
                  <c:v>261.32440000000003</c:v>
                </c:pt>
                <c:pt idx="72">
                  <c:v>262.31990000000002</c:v>
                </c:pt>
                <c:pt idx="73">
                  <c:v>263.30599999999998</c:v>
                </c:pt>
                <c:pt idx="74">
                  <c:v>264.2824</c:v>
                </c:pt>
                <c:pt idx="75">
                  <c:v>265.2491</c:v>
                </c:pt>
                <c:pt idx="76">
                  <c:v>266.20609999999999</c:v>
                </c:pt>
                <c:pt idx="77">
                  <c:v>267.15309999999999</c:v>
                </c:pt>
                <c:pt idx="78">
                  <c:v>268.09019999999998</c:v>
                </c:pt>
                <c:pt idx="79">
                  <c:v>269.01740000000001</c:v>
                </c:pt>
                <c:pt idx="80">
                  <c:v>269.93439999999998</c:v>
                </c:pt>
                <c:pt idx="81">
                  <c:v>270.84120000000001</c:v>
                </c:pt>
                <c:pt idx="82">
                  <c:v>271.73779999999999</c:v>
                </c:pt>
                <c:pt idx="83">
                  <c:v>272.6241</c:v>
                </c:pt>
                <c:pt idx="84">
                  <c:v>273.49990000000003</c:v>
                </c:pt>
                <c:pt idx="85">
                  <c:v>274.36540000000002</c:v>
                </c:pt>
                <c:pt idx="86">
                  <c:v>275.22019999999998</c:v>
                </c:pt>
                <c:pt idx="87">
                  <c:v>276.06450000000001</c:v>
                </c:pt>
                <c:pt idx="88">
                  <c:v>276.89819999999997</c:v>
                </c:pt>
                <c:pt idx="89">
                  <c:v>277.72109999999998</c:v>
                </c:pt>
                <c:pt idx="90">
                  <c:v>278.53309999999999</c:v>
                </c:pt>
                <c:pt idx="91">
                  <c:v>279.33440000000002</c:v>
                </c:pt>
                <c:pt idx="92">
                  <c:v>280.12470000000002</c:v>
                </c:pt>
                <c:pt idx="93">
                  <c:v>280.904</c:v>
                </c:pt>
                <c:pt idx="94">
                  <c:v>281.67230000000001</c:v>
                </c:pt>
                <c:pt idx="95">
                  <c:v>282.42950000000002</c:v>
                </c:pt>
                <c:pt idx="96">
                  <c:v>283.1755</c:v>
                </c:pt>
                <c:pt idx="97">
                  <c:v>283.91030000000001</c:v>
                </c:pt>
                <c:pt idx="98">
                  <c:v>284.63389999999998</c:v>
                </c:pt>
                <c:pt idx="99">
                  <c:v>285.346</c:v>
                </c:pt>
                <c:pt idx="100">
                  <c:v>286.04680000000002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17-4445-B1B3-7552AD082776}"/>
            </c:ext>
          </c:extLst>
        </c:ser>
        <c:ser>
          <c:idx val="3"/>
          <c:order val="3"/>
          <c:tx>
            <c:v>Cable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'rollMovement (2)'!$9:$9</c:f>
              <c:numCache>
                <c:formatCode>0.0</c:formatCode>
                <c:ptCount val="16384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-29.600010000000005</c:v>
                </c:pt>
                <c:pt idx="13">
                  <c:v>-28.800009999999997</c:v>
                </c:pt>
                <c:pt idx="14">
                  <c:v>-28.000009999999996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-25.600010000000005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-14.400020000000001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7.1999799999999992</c:v>
                </c:pt>
                <c:pt idx="59">
                  <c:v>7.999979999999999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13.599979999999999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15.999979999999999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26.399970000000003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28.799969999999995</c:v>
                </c:pt>
                <c:pt idx="86">
                  <c:v>29.599969999999995</c:v>
                </c:pt>
                <c:pt idx="87">
                  <c:v>30.399970000000003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cat>
          <c:val>
            <c:numRef>
              <c:f>'rollMovement (2)'!$A$14:$CW$14</c:f>
              <c:numCache>
                <c:formatCode>General</c:formatCode>
                <c:ptCount val="101"/>
                <c:pt idx="0">
                  <c:v>166.40819999999999</c:v>
                </c:pt>
                <c:pt idx="1">
                  <c:v>167.79810000000001</c:v>
                </c:pt>
                <c:pt idx="2">
                  <c:v>169.18969999999999</c:v>
                </c:pt>
                <c:pt idx="3">
                  <c:v>170.58260000000001</c:v>
                </c:pt>
                <c:pt idx="4">
                  <c:v>171.97640000000001</c:v>
                </c:pt>
                <c:pt idx="5">
                  <c:v>173.37100000000001</c:v>
                </c:pt>
                <c:pt idx="6">
                  <c:v>174.76599999999999</c:v>
                </c:pt>
                <c:pt idx="7">
                  <c:v>176.1611</c:v>
                </c:pt>
                <c:pt idx="8">
                  <c:v>177.55609999999999</c:v>
                </c:pt>
                <c:pt idx="9">
                  <c:v>178.95070000000001</c:v>
                </c:pt>
                <c:pt idx="10">
                  <c:v>180.34469999999999</c:v>
                </c:pt>
                <c:pt idx="11">
                  <c:v>181.73779999999999</c:v>
                </c:pt>
                <c:pt idx="12">
                  <c:v>183.12970000000001</c:v>
                </c:pt>
                <c:pt idx="13">
                  <c:v>184.52019999999999</c:v>
                </c:pt>
                <c:pt idx="14">
                  <c:v>185.9091</c:v>
                </c:pt>
                <c:pt idx="15">
                  <c:v>187.2961</c:v>
                </c:pt>
                <c:pt idx="16">
                  <c:v>188.68109999999999</c:v>
                </c:pt>
                <c:pt idx="17">
                  <c:v>190.06370000000001</c:v>
                </c:pt>
                <c:pt idx="18">
                  <c:v>191.44380000000001</c:v>
                </c:pt>
                <c:pt idx="19">
                  <c:v>192.8212</c:v>
                </c:pt>
                <c:pt idx="20">
                  <c:v>194.19560000000001</c:v>
                </c:pt>
                <c:pt idx="21">
                  <c:v>195.5669</c:v>
                </c:pt>
                <c:pt idx="22">
                  <c:v>196.9348</c:v>
                </c:pt>
                <c:pt idx="23">
                  <c:v>198.29920000000001</c:v>
                </c:pt>
                <c:pt idx="24">
                  <c:v>199.65989999999999</c:v>
                </c:pt>
                <c:pt idx="25">
                  <c:v>201.01660000000001</c:v>
                </c:pt>
                <c:pt idx="26">
                  <c:v>202.36920000000001</c:v>
                </c:pt>
                <c:pt idx="27">
                  <c:v>203.7176</c:v>
                </c:pt>
                <c:pt idx="28">
                  <c:v>205.0615</c:v>
                </c:pt>
                <c:pt idx="29">
                  <c:v>206.4007</c:v>
                </c:pt>
                <c:pt idx="30">
                  <c:v>207.73519999999999</c:v>
                </c:pt>
                <c:pt idx="31">
                  <c:v>209.06469999999999</c:v>
                </c:pt>
                <c:pt idx="32">
                  <c:v>210.38910000000001</c:v>
                </c:pt>
                <c:pt idx="33">
                  <c:v>211.7081</c:v>
                </c:pt>
                <c:pt idx="34">
                  <c:v>213.02180000000001</c:v>
                </c:pt>
                <c:pt idx="35">
                  <c:v>214.32980000000001</c:v>
                </c:pt>
                <c:pt idx="36">
                  <c:v>215.63210000000001</c:v>
                </c:pt>
                <c:pt idx="37">
                  <c:v>216.92850000000001</c:v>
                </c:pt>
                <c:pt idx="38">
                  <c:v>218.21889999999999</c:v>
                </c:pt>
                <c:pt idx="39">
                  <c:v>219.50299999999999</c:v>
                </c:pt>
                <c:pt idx="40">
                  <c:v>220.7809</c:v>
                </c:pt>
                <c:pt idx="41">
                  <c:v>222.0522</c:v>
                </c:pt>
                <c:pt idx="42">
                  <c:v>223.31700000000001</c:v>
                </c:pt>
                <c:pt idx="43">
                  <c:v>224.57509999999999</c:v>
                </c:pt>
                <c:pt idx="44">
                  <c:v>225.8263</c:v>
                </c:pt>
                <c:pt idx="45">
                  <c:v>227.07050000000001</c:v>
                </c:pt>
                <c:pt idx="46">
                  <c:v>228.30760000000001</c:v>
                </c:pt>
                <c:pt idx="47">
                  <c:v>229.53739999999999</c:v>
                </c:pt>
                <c:pt idx="48">
                  <c:v>230.75989999999999</c:v>
                </c:pt>
                <c:pt idx="49">
                  <c:v>231.97489999999999</c:v>
                </c:pt>
                <c:pt idx="50">
                  <c:v>233.1823</c:v>
                </c:pt>
                <c:pt idx="51">
                  <c:v>234.38200000000001</c:v>
                </c:pt>
                <c:pt idx="52">
                  <c:v>235.57380000000001</c:v>
                </c:pt>
                <c:pt idx="53">
                  <c:v>236.7578</c:v>
                </c:pt>
                <c:pt idx="54">
                  <c:v>237.93360000000001</c:v>
                </c:pt>
                <c:pt idx="55">
                  <c:v>239.10130000000001</c:v>
                </c:pt>
                <c:pt idx="56">
                  <c:v>240.26070000000001</c:v>
                </c:pt>
                <c:pt idx="57">
                  <c:v>241.4118</c:v>
                </c:pt>
                <c:pt idx="58">
                  <c:v>242.55430000000001</c:v>
                </c:pt>
                <c:pt idx="59">
                  <c:v>243.6883</c:v>
                </c:pt>
                <c:pt idx="60">
                  <c:v>244.81360000000001</c:v>
                </c:pt>
                <c:pt idx="61">
                  <c:v>245.93010000000001</c:v>
                </c:pt>
                <c:pt idx="62">
                  <c:v>247.0378</c:v>
                </c:pt>
                <c:pt idx="63">
                  <c:v>248.13650000000001</c:v>
                </c:pt>
                <c:pt idx="64">
                  <c:v>249.2261</c:v>
                </c:pt>
                <c:pt idx="65">
                  <c:v>250.3065</c:v>
                </c:pt>
                <c:pt idx="66">
                  <c:v>251.3777</c:v>
                </c:pt>
                <c:pt idx="67">
                  <c:v>252.43960000000001</c:v>
                </c:pt>
                <c:pt idx="68">
                  <c:v>253.49209999999999</c:v>
                </c:pt>
                <c:pt idx="69">
                  <c:v>254.535</c:v>
                </c:pt>
                <c:pt idx="70">
                  <c:v>255.56829999999999</c:v>
                </c:pt>
                <c:pt idx="71">
                  <c:v>256.59190000000001</c:v>
                </c:pt>
                <c:pt idx="72">
                  <c:v>257.60579999999999</c:v>
                </c:pt>
                <c:pt idx="73">
                  <c:v>258.60980000000001</c:v>
                </c:pt>
                <c:pt idx="74">
                  <c:v>259.60390000000001</c:v>
                </c:pt>
                <c:pt idx="75">
                  <c:v>260.58800000000002</c:v>
                </c:pt>
                <c:pt idx="76">
                  <c:v>261.56200000000001</c:v>
                </c:pt>
                <c:pt idx="77">
                  <c:v>262.5258</c:v>
                </c:pt>
                <c:pt idx="78">
                  <c:v>263.4794</c:v>
                </c:pt>
                <c:pt idx="79">
                  <c:v>264.42259999999999</c:v>
                </c:pt>
                <c:pt idx="80">
                  <c:v>265.35550000000001</c:v>
                </c:pt>
                <c:pt idx="81">
                  <c:v>266.27800000000002</c:v>
                </c:pt>
                <c:pt idx="82">
                  <c:v>267.18990000000002</c:v>
                </c:pt>
                <c:pt idx="83">
                  <c:v>268.09120000000001</c:v>
                </c:pt>
                <c:pt idx="84">
                  <c:v>268.98180000000002</c:v>
                </c:pt>
                <c:pt idx="85">
                  <c:v>269.86169999999998</c:v>
                </c:pt>
                <c:pt idx="86">
                  <c:v>270.73079999999999</c:v>
                </c:pt>
                <c:pt idx="87">
                  <c:v>271.58909999999997</c:v>
                </c:pt>
                <c:pt idx="88">
                  <c:v>272.43639999999999</c:v>
                </c:pt>
                <c:pt idx="89">
                  <c:v>273.27269999999999</c:v>
                </c:pt>
                <c:pt idx="90">
                  <c:v>274.09800000000001</c:v>
                </c:pt>
                <c:pt idx="91">
                  <c:v>274.91219999999998</c:v>
                </c:pt>
                <c:pt idx="92">
                  <c:v>275.71510000000001</c:v>
                </c:pt>
                <c:pt idx="93">
                  <c:v>276.50689999999997</c:v>
                </c:pt>
                <c:pt idx="94">
                  <c:v>277.28739999999999</c:v>
                </c:pt>
                <c:pt idx="95">
                  <c:v>278.05650000000003</c:v>
                </c:pt>
                <c:pt idx="96">
                  <c:v>278.81420000000003</c:v>
                </c:pt>
                <c:pt idx="97">
                  <c:v>279.56049999999999</c:v>
                </c:pt>
                <c:pt idx="98">
                  <c:v>280.29520000000002</c:v>
                </c:pt>
                <c:pt idx="99">
                  <c:v>281.01839999999999</c:v>
                </c:pt>
                <c:pt idx="100">
                  <c:v>281.73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17-4445-B1B3-7552AD082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520047"/>
        <c:axId val="865522927"/>
      </c:lineChart>
      <c:catAx>
        <c:axId val="86552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 for Roll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5522927"/>
        <c:crosses val="autoZero"/>
        <c:auto val="1"/>
        <c:lblAlgn val="ctr"/>
        <c:lblOffset val="100"/>
        <c:noMultiLvlLbl val="0"/>
      </c:catAx>
      <c:valAx>
        <c:axId val="86552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Cable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55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'rollMovement'!$A$8:$CW$8</c:f>
              <c:numCache>
                <c:formatCode>General</c:formatCode>
                <c:ptCount val="101"/>
                <c:pt idx="0">
                  <c:v>-46.567439999999998</c:v>
                </c:pt>
                <c:pt idx="1">
                  <c:v>-45.816079999999999</c:v>
                </c:pt>
                <c:pt idx="2">
                  <c:v>-47.303649999999998</c:v>
                </c:pt>
                <c:pt idx="3">
                  <c:v>-49.905410000000003</c:v>
                </c:pt>
                <c:pt idx="4">
                  <c:v>-52.127980000000001</c:v>
                </c:pt>
                <c:pt idx="5">
                  <c:v>-51.000320000000002</c:v>
                </c:pt>
                <c:pt idx="6">
                  <c:v>-46.392159999999997</c:v>
                </c:pt>
                <c:pt idx="7">
                  <c:v>-42.156170000000003</c:v>
                </c:pt>
                <c:pt idx="8">
                  <c:v>-40.511629999999997</c:v>
                </c:pt>
                <c:pt idx="9">
                  <c:v>-41.085000000000001</c:v>
                </c:pt>
                <c:pt idx="10">
                  <c:v>-42.221760000000003</c:v>
                </c:pt>
                <c:pt idx="11">
                  <c:v>-42.675330000000002</c:v>
                </c:pt>
                <c:pt idx="12">
                  <c:v>-42.270760000000003</c:v>
                </c:pt>
                <c:pt idx="13">
                  <c:v>-40.780790000000003</c:v>
                </c:pt>
                <c:pt idx="14">
                  <c:v>-38.119079999999997</c:v>
                </c:pt>
                <c:pt idx="15">
                  <c:v>-35.425170000000001</c:v>
                </c:pt>
                <c:pt idx="16">
                  <c:v>-34.029850000000003</c:v>
                </c:pt>
                <c:pt idx="17">
                  <c:v>-34.055999999999997</c:v>
                </c:pt>
                <c:pt idx="18">
                  <c:v>-34.422170000000001</c:v>
                </c:pt>
                <c:pt idx="19">
                  <c:v>-34.039340000000003</c:v>
                </c:pt>
                <c:pt idx="20">
                  <c:v>-32.931249999999999</c:v>
                </c:pt>
                <c:pt idx="21">
                  <c:v>-31.582839999999997</c:v>
                </c:pt>
                <c:pt idx="22">
                  <c:v>-30.021280000000001</c:v>
                </c:pt>
                <c:pt idx="23">
                  <c:v>-28.21922</c:v>
                </c:pt>
                <c:pt idx="24">
                  <c:v>-26.661629999999995</c:v>
                </c:pt>
                <c:pt idx="25">
                  <c:v>-25.866910000000001</c:v>
                </c:pt>
                <c:pt idx="26">
                  <c:v>-25.682589999999998</c:v>
                </c:pt>
                <c:pt idx="27">
                  <c:v>-25.359210000000001</c:v>
                </c:pt>
                <c:pt idx="28">
                  <c:v>-24.36561</c:v>
                </c:pt>
                <c:pt idx="29">
                  <c:v>-22.917480000000001</c:v>
                </c:pt>
                <c:pt idx="30">
                  <c:v>-21.457940000000001</c:v>
                </c:pt>
                <c:pt idx="31">
                  <c:v>-20.100149999999999</c:v>
                </c:pt>
                <c:pt idx="32">
                  <c:v>-18.782489999999999</c:v>
                </c:pt>
                <c:pt idx="33">
                  <c:v>-17.62764</c:v>
                </c:pt>
                <c:pt idx="34">
                  <c:v>-16.842919999999999</c:v>
                </c:pt>
                <c:pt idx="35">
                  <c:v>-16.350650000000002</c:v>
                </c:pt>
                <c:pt idx="36">
                  <c:v>-15.740959999999998</c:v>
                </c:pt>
                <c:pt idx="37">
                  <c:v>-14.665850000000001</c:v>
                </c:pt>
                <c:pt idx="38">
                  <c:v>-13.20645</c:v>
                </c:pt>
                <c:pt idx="39">
                  <c:v>-11.69928</c:v>
                </c:pt>
                <c:pt idx="40">
                  <c:v>-10.36037</c:v>
                </c:pt>
                <c:pt idx="41">
                  <c:v>-9.221482</c:v>
                </c:pt>
                <c:pt idx="42">
                  <c:v>-8.2772369999999995</c:v>
                </c:pt>
                <c:pt idx="43">
                  <c:v>-7.5296950000000011</c:v>
                </c:pt>
                <c:pt idx="44">
                  <c:v>-6.8836770000000005</c:v>
                </c:pt>
                <c:pt idx="45">
                  <c:v>-6.1129800000000003</c:v>
                </c:pt>
                <c:pt idx="46">
                  <c:v>-5.0132779999999997</c:v>
                </c:pt>
                <c:pt idx="47">
                  <c:v>-3.5984769999999999</c:v>
                </c:pt>
                <c:pt idx="48">
                  <c:v>-2.083135</c:v>
                </c:pt>
                <c:pt idx="49">
                  <c:v>-0.69352080000000005</c:v>
                </c:pt>
                <c:pt idx="50">
                  <c:v>0.42669999999998254</c:v>
                </c:pt>
                <c:pt idx="51">
                  <c:v>1.2257000000000176</c:v>
                </c:pt>
                <c:pt idx="52">
                  <c:v>1.7946000000000026</c:v>
                </c:pt>
                <c:pt idx="53">
                  <c:v>2.3783999999999992</c:v>
                </c:pt>
                <c:pt idx="54">
                  <c:v>3.2456999999999994</c:v>
                </c:pt>
                <c:pt idx="55">
                  <c:v>4.5140999999999849</c:v>
                </c:pt>
                <c:pt idx="56">
                  <c:v>6.0684999999999718</c:v>
                </c:pt>
                <c:pt idx="57">
                  <c:v>7.6600999999999999</c:v>
                </c:pt>
                <c:pt idx="58">
                  <c:v>9.073599999999999</c:v>
                </c:pt>
                <c:pt idx="59">
                  <c:v>10.147400000000005</c:v>
                </c:pt>
                <c:pt idx="60">
                  <c:v>10.75709999999998</c:v>
                </c:pt>
                <c:pt idx="61">
                  <c:v>10.986100000000022</c:v>
                </c:pt>
                <c:pt idx="62">
                  <c:v>11.260199999999998</c:v>
                </c:pt>
                <c:pt idx="63">
                  <c:v>12.092699999999979</c:v>
                </c:pt>
                <c:pt idx="64">
                  <c:v>13.684199999999976</c:v>
                </c:pt>
                <c:pt idx="65">
                  <c:v>15.761000000000024</c:v>
                </c:pt>
                <c:pt idx="66">
                  <c:v>17.771000000000015</c:v>
                </c:pt>
                <c:pt idx="67">
                  <c:v>19.274400000000014</c:v>
                </c:pt>
                <c:pt idx="68">
                  <c:v>20.080899999999986</c:v>
                </c:pt>
                <c:pt idx="69">
                  <c:v>20.146500000000003</c:v>
                </c:pt>
                <c:pt idx="70">
                  <c:v>19.707299999999975</c:v>
                </c:pt>
                <c:pt idx="71">
                  <c:v>19.471400000000017</c:v>
                </c:pt>
                <c:pt idx="72">
                  <c:v>20.275899999999979</c:v>
                </c:pt>
                <c:pt idx="73">
                  <c:v>22.473599999999976</c:v>
                </c:pt>
                <c:pt idx="74">
                  <c:v>25.608900000000006</c:v>
                </c:pt>
                <c:pt idx="75">
                  <c:v>28.544300000000021</c:v>
                </c:pt>
                <c:pt idx="76">
                  <c:v>30.124599999999987</c:v>
                </c:pt>
                <c:pt idx="77">
                  <c:v>29.973599999999976</c:v>
                </c:pt>
                <c:pt idx="78">
                  <c:v>28.627299999999991</c:v>
                </c:pt>
                <c:pt idx="79">
                  <c:v>27.141999999999996</c:v>
                </c:pt>
                <c:pt idx="80">
                  <c:v>26.701399999999978</c:v>
                </c:pt>
                <c:pt idx="81">
                  <c:v>28.210500000000025</c:v>
                </c:pt>
                <c:pt idx="82">
                  <c:v>31.866800000000012</c:v>
                </c:pt>
                <c:pt idx="83">
                  <c:v>36.720399999999984</c:v>
                </c:pt>
                <c:pt idx="84">
                  <c:v>40.327499999999986</c:v>
                </c:pt>
                <c:pt idx="85">
                  <c:v>40.253399999999999</c:v>
                </c:pt>
                <c:pt idx="86">
                  <c:v>37.368600000000015</c:v>
                </c:pt>
                <c:pt idx="87">
                  <c:v>34.464200000000005</c:v>
                </c:pt>
                <c:pt idx="88">
                  <c:v>33.310400000000016</c:v>
                </c:pt>
                <c:pt idx="89">
                  <c:v>34.625099999999975</c:v>
                </c:pt>
                <c:pt idx="90">
                  <c:v>38.57080000000002</c:v>
                </c:pt>
                <c:pt idx="91">
                  <c:v>44.404800000000023</c:v>
                </c:pt>
                <c:pt idx="92">
                  <c:v>49.035500000000013</c:v>
                </c:pt>
                <c:pt idx="93">
                  <c:v>48.357599999999991</c:v>
                </c:pt>
                <c:pt idx="94">
                  <c:v>44.289199999999994</c:v>
                </c:pt>
                <c:pt idx="95">
                  <c:v>41.285599999999988</c:v>
                </c:pt>
                <c:pt idx="96">
                  <c:v>41.086599999999976</c:v>
                </c:pt>
                <c:pt idx="97">
                  <c:v>43.540700000000015</c:v>
                </c:pt>
                <c:pt idx="98">
                  <c:v>47.594100000000026</c:v>
                </c:pt>
                <c:pt idx="99">
                  <c:v>51.617599999999982</c:v>
                </c:pt>
                <c:pt idx="100">
                  <c:v>53.596000000000004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4-47B1-AD52-1A4A688C60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'rollMovement'!$A$9:$CW$9</c:f>
              <c:numCache>
                <c:formatCode>General</c:formatCode>
                <c:ptCount val="101"/>
                <c:pt idx="0">
                  <c:v>-39.200000000000003</c:v>
                </c:pt>
                <c:pt idx="1">
                  <c:v>-38.4</c:v>
                </c:pt>
                <c:pt idx="2">
                  <c:v>-37.6</c:v>
                </c:pt>
                <c:pt idx="3">
                  <c:v>-36.799999999999997</c:v>
                </c:pt>
                <c:pt idx="4">
                  <c:v>-36</c:v>
                </c:pt>
                <c:pt idx="5">
                  <c:v>-35.200000000000003</c:v>
                </c:pt>
                <c:pt idx="6">
                  <c:v>-34.400010000000002</c:v>
                </c:pt>
                <c:pt idx="7">
                  <c:v>-33.600009999999997</c:v>
                </c:pt>
                <c:pt idx="8">
                  <c:v>-32.80001</c:v>
                </c:pt>
                <c:pt idx="9">
                  <c:v>-32.000010000000003</c:v>
                </c:pt>
                <c:pt idx="10">
                  <c:v>-31.200009999999999</c:v>
                </c:pt>
                <c:pt idx="11">
                  <c:v>-30.400010000000002</c:v>
                </c:pt>
                <c:pt idx="12">
                  <c:v>-29.600010000000005</c:v>
                </c:pt>
                <c:pt idx="13">
                  <c:v>-28.800009999999997</c:v>
                </c:pt>
                <c:pt idx="14">
                  <c:v>-28.000009999999996</c:v>
                </c:pt>
                <c:pt idx="15">
                  <c:v>-27.200009999999999</c:v>
                </c:pt>
                <c:pt idx="16">
                  <c:v>-26.400010000000002</c:v>
                </c:pt>
                <c:pt idx="17">
                  <c:v>-25.600010000000005</c:v>
                </c:pt>
                <c:pt idx="18">
                  <c:v>-24.80001</c:v>
                </c:pt>
                <c:pt idx="19">
                  <c:v>-24.000019999999999</c:v>
                </c:pt>
                <c:pt idx="20">
                  <c:v>-23.200019999999999</c:v>
                </c:pt>
                <c:pt idx="21">
                  <c:v>-22.400020000000001</c:v>
                </c:pt>
                <c:pt idx="22">
                  <c:v>-21.600020000000001</c:v>
                </c:pt>
                <c:pt idx="23">
                  <c:v>-20.80002</c:v>
                </c:pt>
                <c:pt idx="24">
                  <c:v>-20.000019999999999</c:v>
                </c:pt>
                <c:pt idx="25">
                  <c:v>-19.200019999999999</c:v>
                </c:pt>
                <c:pt idx="26">
                  <c:v>-18.400020000000001</c:v>
                </c:pt>
                <c:pt idx="27">
                  <c:v>-17.600020000000001</c:v>
                </c:pt>
                <c:pt idx="28">
                  <c:v>-16.80002</c:v>
                </c:pt>
                <c:pt idx="29">
                  <c:v>-16.000019999999999</c:v>
                </c:pt>
                <c:pt idx="30">
                  <c:v>-15.20002</c:v>
                </c:pt>
                <c:pt idx="31">
                  <c:v>-14.400020000000001</c:v>
                </c:pt>
                <c:pt idx="32">
                  <c:v>-13.600020000000001</c:v>
                </c:pt>
                <c:pt idx="33">
                  <c:v>-12.80002</c:v>
                </c:pt>
                <c:pt idx="34">
                  <c:v>-12.000019999999999</c:v>
                </c:pt>
                <c:pt idx="35">
                  <c:v>-11.20002</c:v>
                </c:pt>
                <c:pt idx="36">
                  <c:v>-10.40002</c:v>
                </c:pt>
                <c:pt idx="37">
                  <c:v>-9.6000209999999999</c:v>
                </c:pt>
                <c:pt idx="38">
                  <c:v>-8.8000209999999992</c:v>
                </c:pt>
                <c:pt idx="39">
                  <c:v>-8.0000210000000003</c:v>
                </c:pt>
                <c:pt idx="40">
                  <c:v>-7.2000209999999996</c:v>
                </c:pt>
                <c:pt idx="41">
                  <c:v>-6.4000209999999997</c:v>
                </c:pt>
                <c:pt idx="42">
                  <c:v>-5.6000199999999998</c:v>
                </c:pt>
                <c:pt idx="43">
                  <c:v>-4.80002</c:v>
                </c:pt>
                <c:pt idx="44">
                  <c:v>-4.0000200000000001</c:v>
                </c:pt>
                <c:pt idx="45">
                  <c:v>-3.2000199999999999</c:v>
                </c:pt>
                <c:pt idx="46">
                  <c:v>-2.40002</c:v>
                </c:pt>
                <c:pt idx="47">
                  <c:v>-1.60002</c:v>
                </c:pt>
                <c:pt idx="48">
                  <c:v>-0.80002019999999996</c:v>
                </c:pt>
                <c:pt idx="49">
                  <c:v>-2.0146369999999999E-5</c:v>
                </c:pt>
                <c:pt idx="50">
                  <c:v>0.79997989999999997</c:v>
                </c:pt>
                <c:pt idx="51">
                  <c:v>1.59998</c:v>
                </c:pt>
                <c:pt idx="52">
                  <c:v>2.3999799999999998</c:v>
                </c:pt>
                <c:pt idx="53">
                  <c:v>3.19998</c:v>
                </c:pt>
                <c:pt idx="54">
                  <c:v>3.9999799999999999</c:v>
                </c:pt>
                <c:pt idx="55">
                  <c:v>4.7999799999999997</c:v>
                </c:pt>
                <c:pt idx="56">
                  <c:v>5.5999800000000004</c:v>
                </c:pt>
                <c:pt idx="57">
                  <c:v>6.3999800000000002</c:v>
                </c:pt>
                <c:pt idx="58">
                  <c:v>7.1999799999999992</c:v>
                </c:pt>
                <c:pt idx="59">
                  <c:v>7.999979999999999</c:v>
                </c:pt>
                <c:pt idx="60">
                  <c:v>8.7999799999999997</c:v>
                </c:pt>
                <c:pt idx="61">
                  <c:v>9.5999800000000004</c:v>
                </c:pt>
                <c:pt idx="62">
                  <c:v>10.399979999999999</c:v>
                </c:pt>
                <c:pt idx="63">
                  <c:v>11.19998</c:v>
                </c:pt>
                <c:pt idx="64">
                  <c:v>11.999980000000001</c:v>
                </c:pt>
                <c:pt idx="65">
                  <c:v>12.79998</c:v>
                </c:pt>
                <c:pt idx="66">
                  <c:v>13.599979999999999</c:v>
                </c:pt>
                <c:pt idx="67">
                  <c:v>14.399979999999999</c:v>
                </c:pt>
                <c:pt idx="68">
                  <c:v>15.19998</c:v>
                </c:pt>
                <c:pt idx="69">
                  <c:v>15.999979999999999</c:v>
                </c:pt>
                <c:pt idx="70">
                  <c:v>16.799980000000001</c:v>
                </c:pt>
                <c:pt idx="71">
                  <c:v>17.599979999999999</c:v>
                </c:pt>
                <c:pt idx="72">
                  <c:v>18.399979999999999</c:v>
                </c:pt>
                <c:pt idx="73">
                  <c:v>19.19998</c:v>
                </c:pt>
                <c:pt idx="74">
                  <c:v>19.999980000000001</c:v>
                </c:pt>
                <c:pt idx="75">
                  <c:v>20.799980000000001</c:v>
                </c:pt>
                <c:pt idx="76">
                  <c:v>21.599979999999999</c:v>
                </c:pt>
                <c:pt idx="77">
                  <c:v>22.399979999999999</c:v>
                </c:pt>
                <c:pt idx="78">
                  <c:v>23.19998</c:v>
                </c:pt>
                <c:pt idx="79">
                  <c:v>23.999980000000001</c:v>
                </c:pt>
                <c:pt idx="80">
                  <c:v>24.799969999999998</c:v>
                </c:pt>
                <c:pt idx="81">
                  <c:v>25.599969999999999</c:v>
                </c:pt>
                <c:pt idx="82">
                  <c:v>26.399970000000003</c:v>
                </c:pt>
                <c:pt idx="83">
                  <c:v>27.19997</c:v>
                </c:pt>
                <c:pt idx="84">
                  <c:v>27.999970000000001</c:v>
                </c:pt>
                <c:pt idx="85">
                  <c:v>28.799969999999995</c:v>
                </c:pt>
                <c:pt idx="86">
                  <c:v>29.599969999999995</c:v>
                </c:pt>
                <c:pt idx="87">
                  <c:v>30.399970000000003</c:v>
                </c:pt>
                <c:pt idx="88">
                  <c:v>31.19997</c:v>
                </c:pt>
                <c:pt idx="89">
                  <c:v>31.999970000000001</c:v>
                </c:pt>
                <c:pt idx="90">
                  <c:v>32.799970000000002</c:v>
                </c:pt>
                <c:pt idx="91">
                  <c:v>33.599969999999999</c:v>
                </c:pt>
                <c:pt idx="92">
                  <c:v>34.399970000000003</c:v>
                </c:pt>
                <c:pt idx="93">
                  <c:v>35.19997</c:v>
                </c:pt>
                <c:pt idx="94">
                  <c:v>35.999969999999998</c:v>
                </c:pt>
                <c:pt idx="95">
                  <c:v>36.799959999999999</c:v>
                </c:pt>
                <c:pt idx="96">
                  <c:v>37.599960000000003</c:v>
                </c:pt>
                <c:pt idx="97">
                  <c:v>38.39996</c:v>
                </c:pt>
                <c:pt idx="98">
                  <c:v>39.199959999999997</c:v>
                </c:pt>
                <c:pt idx="99">
                  <c:v>39.999960000000002</c:v>
                </c:pt>
                <c:pt idx="100">
                  <c:v>40.799959999999999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4-47B1-AD52-1A4A688C6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571903"/>
        <c:axId val="624580543"/>
      </c:lineChart>
      <c:catAx>
        <c:axId val="62457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580543"/>
        <c:crosses val="autoZero"/>
        <c:auto val="1"/>
        <c:lblAlgn val="ctr"/>
        <c:lblOffset val="100"/>
        <c:noMultiLvlLbl val="0"/>
      </c:catAx>
      <c:valAx>
        <c:axId val="6245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57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Pitch Angle comparison between setpoint</a:t>
            </a:r>
            <a:r>
              <a:rPr lang="fr-FR" baseline="0"/>
              <a:t> and measured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Measured Angle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pitchMovement!$B$8:$CV$8</c:f>
              <c:numCache>
                <c:formatCode>General</c:formatCode>
                <c:ptCount val="99"/>
                <c:pt idx="0">
                  <c:v>-39.125200000000007</c:v>
                </c:pt>
                <c:pt idx="1">
                  <c:v>-39.537399999999991</c:v>
                </c:pt>
                <c:pt idx="2">
                  <c:v>-38.551699999999983</c:v>
                </c:pt>
                <c:pt idx="3">
                  <c:v>-37.042100000000005</c:v>
                </c:pt>
                <c:pt idx="4">
                  <c:v>-35.885899999999992</c:v>
                </c:pt>
                <c:pt idx="5">
                  <c:v>-34.606699999999989</c:v>
                </c:pt>
                <c:pt idx="6">
                  <c:v>-33.8904</c:v>
                </c:pt>
                <c:pt idx="7">
                  <c:v>-33.678400000000011</c:v>
                </c:pt>
                <c:pt idx="8">
                  <c:v>-33.968900000000019</c:v>
                </c:pt>
                <c:pt idx="9">
                  <c:v>-34.507600000000025</c:v>
                </c:pt>
                <c:pt idx="10">
                  <c:v>-34.58929999999998</c:v>
                </c:pt>
                <c:pt idx="11">
                  <c:v>-33.590700000000027</c:v>
                </c:pt>
                <c:pt idx="12">
                  <c:v>-31.783999999999992</c:v>
                </c:pt>
                <c:pt idx="13">
                  <c:v>-29.942499999999995</c:v>
                </c:pt>
                <c:pt idx="14">
                  <c:v>-28.514400000000023</c:v>
                </c:pt>
                <c:pt idx="15">
                  <c:v>-27.537500000000023</c:v>
                </c:pt>
                <c:pt idx="16">
                  <c:v>-26.930200000000013</c:v>
                </c:pt>
                <c:pt idx="17">
                  <c:v>-26.674399999999991</c:v>
                </c:pt>
                <c:pt idx="18">
                  <c:v>-26.738600000000019</c:v>
                </c:pt>
                <c:pt idx="19">
                  <c:v>-26.868499999999983</c:v>
                </c:pt>
                <c:pt idx="20">
                  <c:v>-26.576999999999998</c:v>
                </c:pt>
                <c:pt idx="21">
                  <c:v>-25.564700000000016</c:v>
                </c:pt>
                <c:pt idx="22">
                  <c:v>-24.081099999999992</c:v>
                </c:pt>
                <c:pt idx="23">
                  <c:v>-22.61239999999998</c:v>
                </c:pt>
                <c:pt idx="24">
                  <c:v>-21.433600000000013</c:v>
                </c:pt>
                <c:pt idx="25">
                  <c:v>-20.565600000000018</c:v>
                </c:pt>
                <c:pt idx="26">
                  <c:v>-19.958199999999977</c:v>
                </c:pt>
                <c:pt idx="27">
                  <c:v>-19.602599999999995</c:v>
                </c:pt>
                <c:pt idx="28">
                  <c:v>-19.462300000000027</c:v>
                </c:pt>
                <c:pt idx="29">
                  <c:v>-19.338799999999992</c:v>
                </c:pt>
                <c:pt idx="30">
                  <c:v>-18.903399999999976</c:v>
                </c:pt>
                <c:pt idx="31">
                  <c:v>-17.979600000000005</c:v>
                </c:pt>
                <c:pt idx="32">
                  <c:v>-16.739399999999989</c:v>
                </c:pt>
                <c:pt idx="33">
                  <c:v>-15.503199999999993</c:v>
                </c:pt>
                <c:pt idx="34">
                  <c:v>-14.463199999999972</c:v>
                </c:pt>
                <c:pt idx="35">
                  <c:v>-13.647400000000005</c:v>
                </c:pt>
                <c:pt idx="36">
                  <c:v>-13.03370000000001</c:v>
                </c:pt>
                <c:pt idx="37">
                  <c:v>-12.615700000000004</c:v>
                </c:pt>
                <c:pt idx="38">
                  <c:v>-12.3476</c:v>
                </c:pt>
                <c:pt idx="39">
                  <c:v>-12.066500000000019</c:v>
                </c:pt>
                <c:pt idx="40">
                  <c:v>-11.544699999999978</c:v>
                </c:pt>
                <c:pt idx="41">
                  <c:v>-10.678999999999974</c:v>
                </c:pt>
                <c:pt idx="42">
                  <c:v>-9.5926000000000045</c:v>
                </c:pt>
                <c:pt idx="43">
                  <c:v>-8.4986000000000104</c:v>
                </c:pt>
                <c:pt idx="44">
                  <c:v>-7.5366999999999962</c:v>
                </c:pt>
                <c:pt idx="45">
                  <c:v>-6.7542000000000257</c:v>
                </c:pt>
                <c:pt idx="46">
                  <c:v>-6.1610000000000014</c:v>
                </c:pt>
                <c:pt idx="47">
                  <c:v>-5.7420999999999935</c:v>
                </c:pt>
                <c:pt idx="48">
                  <c:v>-5.4182999999999879</c:v>
                </c:pt>
                <c:pt idx="49">
                  <c:v>-5.0348000000000184</c:v>
                </c:pt>
                <c:pt idx="50">
                  <c:v>-4.436300000000017</c:v>
                </c:pt>
                <c:pt idx="51">
                  <c:v>-3.5822999999999752</c:v>
                </c:pt>
                <c:pt idx="52">
                  <c:v>-2.567799999999977</c:v>
                </c:pt>
                <c:pt idx="53">
                  <c:v>-1.5335999999999785</c:v>
                </c:pt>
                <c:pt idx="54">
                  <c:v>-0.60129999999998063</c:v>
                </c:pt>
                <c:pt idx="55">
                  <c:v>0.13692550000000001</c:v>
                </c:pt>
                <c:pt idx="56">
                  <c:v>0.64715489999999998</c:v>
                </c:pt>
                <c:pt idx="57">
                  <c:v>0.9961179</c:v>
                </c:pt>
                <c:pt idx="58">
                  <c:v>1.3309359999999999</c:v>
                </c:pt>
                <c:pt idx="59">
                  <c:v>1.8009840000000001</c:v>
                </c:pt>
                <c:pt idx="60">
                  <c:v>2.4866250000000001</c:v>
                </c:pt>
                <c:pt idx="61">
                  <c:v>3.3822139999999998</c:v>
                </c:pt>
                <c:pt idx="62">
                  <c:v>4.4226739999999998</c:v>
                </c:pt>
                <c:pt idx="63">
                  <c:v>5.4861519999999997</c:v>
                </c:pt>
                <c:pt idx="64">
                  <c:v>6.3858079999999999</c:v>
                </c:pt>
                <c:pt idx="65">
                  <c:v>6.9673499999999988</c:v>
                </c:pt>
                <c:pt idx="66">
                  <c:v>7.2717510000000001</c:v>
                </c:pt>
                <c:pt idx="67">
                  <c:v>7.5140410000000006</c:v>
                </c:pt>
                <c:pt idx="68">
                  <c:v>7.8932249999999993</c:v>
                </c:pt>
                <c:pt idx="69">
                  <c:v>8.4895080000000007</c:v>
                </c:pt>
                <c:pt idx="70">
                  <c:v>9.3162719999999997</c:v>
                </c:pt>
                <c:pt idx="71">
                  <c:v>10.37669</c:v>
                </c:pt>
                <c:pt idx="72">
                  <c:v>11.582520000000001</c:v>
                </c:pt>
                <c:pt idx="73">
                  <c:v>12.64298</c:v>
                </c:pt>
                <c:pt idx="74">
                  <c:v>13.22935</c:v>
                </c:pt>
                <c:pt idx="75">
                  <c:v>13.373560000000001</c:v>
                </c:pt>
                <c:pt idx="76">
                  <c:v>13.449199999999999</c:v>
                </c:pt>
                <c:pt idx="77">
                  <c:v>13.747409999999999</c:v>
                </c:pt>
                <c:pt idx="78">
                  <c:v>14.324340000000001</c:v>
                </c:pt>
                <c:pt idx="79">
                  <c:v>15.18995</c:v>
                </c:pt>
                <c:pt idx="80">
                  <c:v>16.405840000000001</c:v>
                </c:pt>
                <c:pt idx="81">
                  <c:v>17.83672</c:v>
                </c:pt>
                <c:pt idx="82">
                  <c:v>18.922630000000002</c:v>
                </c:pt>
                <c:pt idx="83">
                  <c:v>19.182870000000001</c:v>
                </c:pt>
                <c:pt idx="84">
                  <c:v>18.957370000000001</c:v>
                </c:pt>
                <c:pt idx="85">
                  <c:v>18.903580000000002</c:v>
                </c:pt>
                <c:pt idx="86">
                  <c:v>19.25365</c:v>
                </c:pt>
                <c:pt idx="87">
                  <c:v>19.972770000000001</c:v>
                </c:pt>
                <c:pt idx="88">
                  <c:v>21.161549999999998</c:v>
                </c:pt>
                <c:pt idx="89">
                  <c:v>22.839780000000001</c:v>
                </c:pt>
                <c:pt idx="90">
                  <c:v>24.28931</c:v>
                </c:pt>
                <c:pt idx="91">
                  <c:v>24.495609999999999</c:v>
                </c:pt>
                <c:pt idx="92">
                  <c:v>23.87311</c:v>
                </c:pt>
                <c:pt idx="93">
                  <c:v>23.541129999999999</c:v>
                </c:pt>
                <c:pt idx="94">
                  <c:v>23.802759999999999</c:v>
                </c:pt>
                <c:pt idx="95">
                  <c:v>24.566690000000001</c:v>
                </c:pt>
                <c:pt idx="96">
                  <c:v>26.034640000000003</c:v>
                </c:pt>
                <c:pt idx="97">
                  <c:v>28.08737</c:v>
                </c:pt>
                <c:pt idx="98">
                  <c:v>29.160489999999999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7-49B1-850C-E56645925933}"/>
            </c:ext>
          </c:extLst>
        </c:ser>
        <c:ser>
          <c:idx val="1"/>
          <c:order val="1"/>
          <c:tx>
            <c:v>Setpoint Angle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pitchMovement!$B$9:$CV$9</c:f>
              <c:numCache>
                <c:formatCode>0.0</c:formatCode>
                <c:ptCount val="99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-39.200000000000003</c:v>
                </c:pt>
                <c:pt idx="5">
                  <c:v>-38.4</c:v>
                </c:pt>
                <c:pt idx="6">
                  <c:v>-37.6</c:v>
                </c:pt>
                <c:pt idx="7">
                  <c:v>-36.799999999999997</c:v>
                </c:pt>
                <c:pt idx="8">
                  <c:v>-36</c:v>
                </c:pt>
                <c:pt idx="9">
                  <c:v>-35.200000000000003</c:v>
                </c:pt>
                <c:pt idx="10">
                  <c:v>-34.400010000000002</c:v>
                </c:pt>
                <c:pt idx="11">
                  <c:v>-33.600009999999997</c:v>
                </c:pt>
                <c:pt idx="12">
                  <c:v>-32.80001</c:v>
                </c:pt>
                <c:pt idx="13">
                  <c:v>-32.000010000000003</c:v>
                </c:pt>
                <c:pt idx="14">
                  <c:v>-31.200009999999999</c:v>
                </c:pt>
                <c:pt idx="15">
                  <c:v>-30.400010000000002</c:v>
                </c:pt>
                <c:pt idx="16">
                  <c:v>-29.600010000000005</c:v>
                </c:pt>
                <c:pt idx="17">
                  <c:v>-28.800009999999997</c:v>
                </c:pt>
                <c:pt idx="18">
                  <c:v>-28.000009999999996</c:v>
                </c:pt>
                <c:pt idx="19">
                  <c:v>-27.200009999999999</c:v>
                </c:pt>
                <c:pt idx="20">
                  <c:v>-26.400010000000002</c:v>
                </c:pt>
                <c:pt idx="21">
                  <c:v>-25.600010000000005</c:v>
                </c:pt>
                <c:pt idx="22">
                  <c:v>-24.80001</c:v>
                </c:pt>
                <c:pt idx="23">
                  <c:v>-24.000019999999999</c:v>
                </c:pt>
                <c:pt idx="24">
                  <c:v>-23.200019999999999</c:v>
                </c:pt>
                <c:pt idx="25">
                  <c:v>-22.400020000000001</c:v>
                </c:pt>
                <c:pt idx="26">
                  <c:v>-21.600020000000001</c:v>
                </c:pt>
                <c:pt idx="27">
                  <c:v>-20.80002</c:v>
                </c:pt>
                <c:pt idx="28">
                  <c:v>-20.000019999999999</c:v>
                </c:pt>
                <c:pt idx="29">
                  <c:v>-19.200019999999999</c:v>
                </c:pt>
                <c:pt idx="30">
                  <c:v>-18.400020000000001</c:v>
                </c:pt>
                <c:pt idx="31">
                  <c:v>-17.600020000000001</c:v>
                </c:pt>
                <c:pt idx="32">
                  <c:v>-16.80002</c:v>
                </c:pt>
                <c:pt idx="33">
                  <c:v>-16.000019999999999</c:v>
                </c:pt>
                <c:pt idx="34">
                  <c:v>-15.20002</c:v>
                </c:pt>
                <c:pt idx="35">
                  <c:v>-14.400020000000001</c:v>
                </c:pt>
                <c:pt idx="36">
                  <c:v>-13.600020000000001</c:v>
                </c:pt>
                <c:pt idx="37">
                  <c:v>-12.80002</c:v>
                </c:pt>
                <c:pt idx="38">
                  <c:v>-12.000019999999999</c:v>
                </c:pt>
                <c:pt idx="39">
                  <c:v>-11.20002</c:v>
                </c:pt>
                <c:pt idx="40">
                  <c:v>-10.40002</c:v>
                </c:pt>
                <c:pt idx="41">
                  <c:v>-9.6000209999999999</c:v>
                </c:pt>
                <c:pt idx="42">
                  <c:v>-8.8000209999999992</c:v>
                </c:pt>
                <c:pt idx="43">
                  <c:v>-8.0000210000000003</c:v>
                </c:pt>
                <c:pt idx="44">
                  <c:v>-7.2000209999999996</c:v>
                </c:pt>
                <c:pt idx="45">
                  <c:v>-6.4000209999999997</c:v>
                </c:pt>
                <c:pt idx="46">
                  <c:v>-5.6000199999999998</c:v>
                </c:pt>
                <c:pt idx="47">
                  <c:v>-4.80002</c:v>
                </c:pt>
                <c:pt idx="48">
                  <c:v>-4.0000200000000001</c:v>
                </c:pt>
                <c:pt idx="49">
                  <c:v>-3.2000199999999999</c:v>
                </c:pt>
                <c:pt idx="50">
                  <c:v>-2.40002</c:v>
                </c:pt>
                <c:pt idx="51">
                  <c:v>-1.60002</c:v>
                </c:pt>
                <c:pt idx="52">
                  <c:v>-0.80002019999999996</c:v>
                </c:pt>
                <c:pt idx="53">
                  <c:v>-2.0146369999999999E-5</c:v>
                </c:pt>
                <c:pt idx="54">
                  <c:v>0.79997989999999997</c:v>
                </c:pt>
                <c:pt idx="55">
                  <c:v>1.59998</c:v>
                </c:pt>
                <c:pt idx="56">
                  <c:v>2.3999799999999998</c:v>
                </c:pt>
                <c:pt idx="57">
                  <c:v>3.19998</c:v>
                </c:pt>
                <c:pt idx="58">
                  <c:v>3.9999799999999999</c:v>
                </c:pt>
                <c:pt idx="59">
                  <c:v>4.7999799999999997</c:v>
                </c:pt>
                <c:pt idx="60">
                  <c:v>5.5999800000000004</c:v>
                </c:pt>
                <c:pt idx="61">
                  <c:v>6.3999800000000002</c:v>
                </c:pt>
                <c:pt idx="62">
                  <c:v>7.1999799999999992</c:v>
                </c:pt>
                <c:pt idx="63">
                  <c:v>7.999979999999999</c:v>
                </c:pt>
                <c:pt idx="64">
                  <c:v>8.7999799999999997</c:v>
                </c:pt>
                <c:pt idx="65">
                  <c:v>9.5999800000000004</c:v>
                </c:pt>
                <c:pt idx="66">
                  <c:v>10.399979999999999</c:v>
                </c:pt>
                <c:pt idx="67">
                  <c:v>11.19998</c:v>
                </c:pt>
                <c:pt idx="68">
                  <c:v>11.999980000000001</c:v>
                </c:pt>
                <c:pt idx="69">
                  <c:v>12.79998</c:v>
                </c:pt>
                <c:pt idx="70">
                  <c:v>13.599979999999999</c:v>
                </c:pt>
                <c:pt idx="71">
                  <c:v>14.399979999999999</c:v>
                </c:pt>
                <c:pt idx="72">
                  <c:v>15.19998</c:v>
                </c:pt>
                <c:pt idx="73">
                  <c:v>15.999979999999999</c:v>
                </c:pt>
                <c:pt idx="74">
                  <c:v>16.799980000000001</c:v>
                </c:pt>
                <c:pt idx="75">
                  <c:v>17.599979999999999</c:v>
                </c:pt>
                <c:pt idx="76">
                  <c:v>18.399979999999999</c:v>
                </c:pt>
                <c:pt idx="77">
                  <c:v>19.19998</c:v>
                </c:pt>
                <c:pt idx="78">
                  <c:v>19.999980000000001</c:v>
                </c:pt>
                <c:pt idx="79">
                  <c:v>20.799980000000001</c:v>
                </c:pt>
                <c:pt idx="80">
                  <c:v>21.599979999999999</c:v>
                </c:pt>
                <c:pt idx="81">
                  <c:v>22.399979999999999</c:v>
                </c:pt>
                <c:pt idx="82">
                  <c:v>23.19998</c:v>
                </c:pt>
                <c:pt idx="83">
                  <c:v>23.999980000000001</c:v>
                </c:pt>
                <c:pt idx="84">
                  <c:v>24.799969999999998</c:v>
                </c:pt>
                <c:pt idx="85">
                  <c:v>25.599969999999999</c:v>
                </c:pt>
                <c:pt idx="86">
                  <c:v>26.399970000000003</c:v>
                </c:pt>
                <c:pt idx="87">
                  <c:v>27.19997</c:v>
                </c:pt>
                <c:pt idx="88">
                  <c:v>27.999970000000001</c:v>
                </c:pt>
                <c:pt idx="89">
                  <c:v>28.799969999999995</c:v>
                </c:pt>
                <c:pt idx="90">
                  <c:v>29.599969999999995</c:v>
                </c:pt>
                <c:pt idx="91">
                  <c:v>30.399970000000003</c:v>
                </c:pt>
                <c:pt idx="92">
                  <c:v>31.19997</c:v>
                </c:pt>
                <c:pt idx="93">
                  <c:v>31.999970000000001</c:v>
                </c:pt>
                <c:pt idx="94">
                  <c:v>32.799970000000002</c:v>
                </c:pt>
                <c:pt idx="95">
                  <c:v>33.599969999999999</c:v>
                </c:pt>
                <c:pt idx="96">
                  <c:v>34.399970000000003</c:v>
                </c:pt>
                <c:pt idx="97">
                  <c:v>35.19997</c:v>
                </c:pt>
                <c:pt idx="98">
                  <c:v>35.999969999999998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7-49B1-850C-E56645925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147184"/>
        <c:axId val="360147664"/>
      </c:lineChart>
      <c:catAx>
        <c:axId val="360147184"/>
        <c:scaling>
          <c:orientation val="minMax"/>
        </c:scaling>
        <c:delete val="1"/>
        <c:axPos val="b"/>
        <c:majorTickMark val="none"/>
        <c:minorTickMark val="none"/>
        <c:tickLblPos val="nextTo"/>
        <c:crossAx val="360147664"/>
        <c:crosses val="autoZero"/>
        <c:auto val="1"/>
        <c:lblAlgn val="ctr"/>
        <c:lblOffset val="100"/>
        <c:noMultiLvlLbl val="0"/>
      </c:catAx>
      <c:valAx>
        <c:axId val="3601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</a:t>
                </a:r>
                <a:r>
                  <a:rPr lang="fr-FR" baseline="0"/>
                  <a:t> for pitch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014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Cable length for pitch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Cable1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pitchMovement!$9:$9</c:f>
              <c:numCache>
                <c:formatCode>0.0</c:formatCode>
                <c:ptCount val="16384"/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-39.200000000000003</c:v>
                </c:pt>
                <c:pt idx="6">
                  <c:v>-38.4</c:v>
                </c:pt>
                <c:pt idx="7">
                  <c:v>-37.6</c:v>
                </c:pt>
                <c:pt idx="8">
                  <c:v>-36.799999999999997</c:v>
                </c:pt>
                <c:pt idx="9">
                  <c:v>-36</c:v>
                </c:pt>
                <c:pt idx="10">
                  <c:v>-35.200000000000003</c:v>
                </c:pt>
                <c:pt idx="11">
                  <c:v>-34.400010000000002</c:v>
                </c:pt>
                <c:pt idx="12">
                  <c:v>-33.600009999999997</c:v>
                </c:pt>
                <c:pt idx="13">
                  <c:v>-32.80001</c:v>
                </c:pt>
                <c:pt idx="14">
                  <c:v>-32.000010000000003</c:v>
                </c:pt>
                <c:pt idx="15">
                  <c:v>-31.200009999999999</c:v>
                </c:pt>
                <c:pt idx="16">
                  <c:v>-30.400010000000002</c:v>
                </c:pt>
                <c:pt idx="17">
                  <c:v>-29.600010000000005</c:v>
                </c:pt>
                <c:pt idx="18">
                  <c:v>-28.800009999999997</c:v>
                </c:pt>
                <c:pt idx="19">
                  <c:v>-28.000009999999996</c:v>
                </c:pt>
                <c:pt idx="20">
                  <c:v>-27.200009999999999</c:v>
                </c:pt>
                <c:pt idx="21">
                  <c:v>-26.400010000000002</c:v>
                </c:pt>
                <c:pt idx="22">
                  <c:v>-25.600010000000005</c:v>
                </c:pt>
                <c:pt idx="23">
                  <c:v>-24.80001</c:v>
                </c:pt>
                <c:pt idx="24">
                  <c:v>-24.000019999999999</c:v>
                </c:pt>
                <c:pt idx="25">
                  <c:v>-23.200019999999999</c:v>
                </c:pt>
                <c:pt idx="26">
                  <c:v>-22.400020000000001</c:v>
                </c:pt>
                <c:pt idx="27">
                  <c:v>-21.600020000000001</c:v>
                </c:pt>
                <c:pt idx="28">
                  <c:v>-20.80002</c:v>
                </c:pt>
                <c:pt idx="29">
                  <c:v>-20.000019999999999</c:v>
                </c:pt>
                <c:pt idx="30">
                  <c:v>-19.200019999999999</c:v>
                </c:pt>
                <c:pt idx="31">
                  <c:v>-18.400020000000001</c:v>
                </c:pt>
                <c:pt idx="32">
                  <c:v>-17.600020000000001</c:v>
                </c:pt>
                <c:pt idx="33">
                  <c:v>-16.80002</c:v>
                </c:pt>
                <c:pt idx="34">
                  <c:v>-16.000019999999999</c:v>
                </c:pt>
                <c:pt idx="35">
                  <c:v>-15.20002</c:v>
                </c:pt>
                <c:pt idx="36">
                  <c:v>-14.400020000000001</c:v>
                </c:pt>
                <c:pt idx="37">
                  <c:v>-13.600020000000001</c:v>
                </c:pt>
                <c:pt idx="38">
                  <c:v>-12.80002</c:v>
                </c:pt>
                <c:pt idx="39">
                  <c:v>-12.000019999999999</c:v>
                </c:pt>
                <c:pt idx="40">
                  <c:v>-11.20002</c:v>
                </c:pt>
                <c:pt idx="41">
                  <c:v>-10.40002</c:v>
                </c:pt>
                <c:pt idx="42">
                  <c:v>-9.6000209999999999</c:v>
                </c:pt>
                <c:pt idx="43">
                  <c:v>-8.8000209999999992</c:v>
                </c:pt>
                <c:pt idx="44">
                  <c:v>-8.0000210000000003</c:v>
                </c:pt>
                <c:pt idx="45">
                  <c:v>-7.2000209999999996</c:v>
                </c:pt>
                <c:pt idx="46">
                  <c:v>-6.4000209999999997</c:v>
                </c:pt>
                <c:pt idx="47">
                  <c:v>-5.6000199999999998</c:v>
                </c:pt>
                <c:pt idx="48">
                  <c:v>-4.80002</c:v>
                </c:pt>
                <c:pt idx="49">
                  <c:v>-4.0000200000000001</c:v>
                </c:pt>
                <c:pt idx="50">
                  <c:v>-3.2000199999999999</c:v>
                </c:pt>
                <c:pt idx="51">
                  <c:v>-2.40002</c:v>
                </c:pt>
                <c:pt idx="52">
                  <c:v>-1.60002</c:v>
                </c:pt>
                <c:pt idx="53">
                  <c:v>-0.80002019999999996</c:v>
                </c:pt>
                <c:pt idx="54">
                  <c:v>-2.0146369999999999E-5</c:v>
                </c:pt>
                <c:pt idx="55">
                  <c:v>0.79997989999999997</c:v>
                </c:pt>
                <c:pt idx="56">
                  <c:v>1.59998</c:v>
                </c:pt>
                <c:pt idx="57">
                  <c:v>2.3999799999999998</c:v>
                </c:pt>
                <c:pt idx="58">
                  <c:v>3.19998</c:v>
                </c:pt>
                <c:pt idx="59">
                  <c:v>3.9999799999999999</c:v>
                </c:pt>
                <c:pt idx="60">
                  <c:v>4.7999799999999997</c:v>
                </c:pt>
                <c:pt idx="61">
                  <c:v>5.5999800000000004</c:v>
                </c:pt>
                <c:pt idx="62">
                  <c:v>6.3999800000000002</c:v>
                </c:pt>
                <c:pt idx="63">
                  <c:v>7.1999799999999992</c:v>
                </c:pt>
                <c:pt idx="64">
                  <c:v>7.999979999999999</c:v>
                </c:pt>
                <c:pt idx="65">
                  <c:v>8.7999799999999997</c:v>
                </c:pt>
                <c:pt idx="66">
                  <c:v>9.5999800000000004</c:v>
                </c:pt>
                <c:pt idx="67">
                  <c:v>10.399979999999999</c:v>
                </c:pt>
                <c:pt idx="68">
                  <c:v>11.19998</c:v>
                </c:pt>
                <c:pt idx="69">
                  <c:v>11.999980000000001</c:v>
                </c:pt>
                <c:pt idx="70">
                  <c:v>12.79998</c:v>
                </c:pt>
                <c:pt idx="71">
                  <c:v>13.599979999999999</c:v>
                </c:pt>
                <c:pt idx="72">
                  <c:v>14.399979999999999</c:v>
                </c:pt>
                <c:pt idx="73">
                  <c:v>15.19998</c:v>
                </c:pt>
                <c:pt idx="74">
                  <c:v>15.999979999999999</c:v>
                </c:pt>
                <c:pt idx="75">
                  <c:v>16.799980000000001</c:v>
                </c:pt>
                <c:pt idx="76">
                  <c:v>17.599979999999999</c:v>
                </c:pt>
                <c:pt idx="77">
                  <c:v>18.399979999999999</c:v>
                </c:pt>
                <c:pt idx="78">
                  <c:v>19.19998</c:v>
                </c:pt>
                <c:pt idx="79">
                  <c:v>19.999980000000001</c:v>
                </c:pt>
                <c:pt idx="80">
                  <c:v>20.799980000000001</c:v>
                </c:pt>
                <c:pt idx="81">
                  <c:v>21.599979999999999</c:v>
                </c:pt>
                <c:pt idx="82">
                  <c:v>22.399979999999999</c:v>
                </c:pt>
                <c:pt idx="83">
                  <c:v>23.19998</c:v>
                </c:pt>
                <c:pt idx="84">
                  <c:v>23.999980000000001</c:v>
                </c:pt>
                <c:pt idx="85">
                  <c:v>24.799969999999998</c:v>
                </c:pt>
                <c:pt idx="86">
                  <c:v>25.599969999999999</c:v>
                </c:pt>
                <c:pt idx="87">
                  <c:v>26.399970000000003</c:v>
                </c:pt>
                <c:pt idx="88">
                  <c:v>27.19997</c:v>
                </c:pt>
                <c:pt idx="89">
                  <c:v>27.999970000000001</c:v>
                </c:pt>
                <c:pt idx="90">
                  <c:v>28.799969999999995</c:v>
                </c:pt>
                <c:pt idx="91">
                  <c:v>29.599969999999995</c:v>
                </c:pt>
                <c:pt idx="92">
                  <c:v>30.399970000000003</c:v>
                </c:pt>
                <c:pt idx="93">
                  <c:v>31.19997</c:v>
                </c:pt>
                <c:pt idx="94">
                  <c:v>31.999970000000001</c:v>
                </c:pt>
                <c:pt idx="95">
                  <c:v>32.799970000000002</c:v>
                </c:pt>
                <c:pt idx="96">
                  <c:v>33.599969999999999</c:v>
                </c:pt>
                <c:pt idx="97">
                  <c:v>34.399970000000003</c:v>
                </c:pt>
                <c:pt idx="98">
                  <c:v>35.19997</c:v>
                </c:pt>
                <c:pt idx="99">
                  <c:v>35.999969999999998</c:v>
                </c:pt>
              </c:numCache>
            </c:numRef>
          </c:cat>
          <c:val>
            <c:numRef>
              <c:f>pitchMovement!$A$11:$CV$11</c:f>
              <c:numCache>
                <c:formatCode>General</c:formatCode>
                <c:ptCount val="100"/>
                <c:pt idx="0">
                  <c:v>202.0522</c:v>
                </c:pt>
                <c:pt idx="1">
                  <c:v>202.0522</c:v>
                </c:pt>
                <c:pt idx="2">
                  <c:v>202.0522</c:v>
                </c:pt>
                <c:pt idx="3">
                  <c:v>202.0522</c:v>
                </c:pt>
                <c:pt idx="4">
                  <c:v>202.0522</c:v>
                </c:pt>
                <c:pt idx="5">
                  <c:v>202.0522</c:v>
                </c:pt>
                <c:pt idx="6">
                  <c:v>202.85400000000001</c:v>
                </c:pt>
                <c:pt idx="7">
                  <c:v>203.64959999999999</c:v>
                </c:pt>
                <c:pt idx="8">
                  <c:v>204.43889999999999</c:v>
                </c:pt>
                <c:pt idx="9">
                  <c:v>205.2217</c:v>
                </c:pt>
                <c:pt idx="10">
                  <c:v>205.9982</c:v>
                </c:pt>
                <c:pt idx="11">
                  <c:v>206.76799999999997</c:v>
                </c:pt>
                <c:pt idx="12">
                  <c:v>207.53130000000002</c:v>
                </c:pt>
                <c:pt idx="13">
                  <c:v>208.2878</c:v>
                </c:pt>
                <c:pt idx="14">
                  <c:v>209.03760000000003</c:v>
                </c:pt>
                <c:pt idx="15">
                  <c:v>209.78059999999999</c:v>
                </c:pt>
                <c:pt idx="16">
                  <c:v>210.51660000000001</c:v>
                </c:pt>
                <c:pt idx="17">
                  <c:v>211.24560000000002</c:v>
                </c:pt>
                <c:pt idx="18">
                  <c:v>211.9676</c:v>
                </c:pt>
                <c:pt idx="19">
                  <c:v>212.68249999999998</c:v>
                </c:pt>
                <c:pt idx="20">
                  <c:v>213.39009999999999</c:v>
                </c:pt>
                <c:pt idx="21">
                  <c:v>214.09049999999996</c:v>
                </c:pt>
                <c:pt idx="22">
                  <c:v>214.78360000000004</c:v>
                </c:pt>
                <c:pt idx="23">
                  <c:v>215.46930000000003</c:v>
                </c:pt>
                <c:pt idx="24">
                  <c:v>216.14760000000001</c:v>
                </c:pt>
                <c:pt idx="25">
                  <c:v>216.81829999999999</c:v>
                </c:pt>
                <c:pt idx="26">
                  <c:v>217.48150000000001</c:v>
                </c:pt>
                <c:pt idx="27">
                  <c:v>218.137</c:v>
                </c:pt>
                <c:pt idx="28">
                  <c:v>218.78490000000002</c:v>
                </c:pt>
                <c:pt idx="29">
                  <c:v>219.42500000000001</c:v>
                </c:pt>
                <c:pt idx="30">
                  <c:v>220.0573</c:v>
                </c:pt>
                <c:pt idx="31">
                  <c:v>220.68180000000001</c:v>
                </c:pt>
                <c:pt idx="32">
                  <c:v>221.29830000000001</c:v>
                </c:pt>
                <c:pt idx="33">
                  <c:v>221.90680000000003</c:v>
                </c:pt>
                <c:pt idx="34">
                  <c:v>222.50740000000002</c:v>
                </c:pt>
                <c:pt idx="35">
                  <c:v>223.09989999999999</c:v>
                </c:pt>
                <c:pt idx="36">
                  <c:v>223.6842</c:v>
                </c:pt>
                <c:pt idx="37">
                  <c:v>224.26040000000003</c:v>
                </c:pt>
                <c:pt idx="38">
                  <c:v>224.82830000000004</c:v>
                </c:pt>
                <c:pt idx="39">
                  <c:v>225.38800000000001</c:v>
                </c:pt>
                <c:pt idx="40">
                  <c:v>225.93940000000003</c:v>
                </c:pt>
                <c:pt idx="41">
                  <c:v>226.48240000000001</c:v>
                </c:pt>
                <c:pt idx="42">
                  <c:v>227.017</c:v>
                </c:pt>
                <c:pt idx="43">
                  <c:v>227.54310000000001</c:v>
                </c:pt>
                <c:pt idx="44">
                  <c:v>228.06080000000003</c:v>
                </c:pt>
                <c:pt idx="45">
                  <c:v>228.56990000000002</c:v>
                </c:pt>
                <c:pt idx="46">
                  <c:v>229.07040000000001</c:v>
                </c:pt>
                <c:pt idx="47">
                  <c:v>229.56229999999999</c:v>
                </c:pt>
                <c:pt idx="48">
                  <c:v>230.0455</c:v>
                </c:pt>
                <c:pt idx="49">
                  <c:v>230.52000000000004</c:v>
                </c:pt>
                <c:pt idx="50">
                  <c:v>230.98580000000001</c:v>
                </c:pt>
                <c:pt idx="51">
                  <c:v>231.44279999999998</c:v>
                </c:pt>
                <c:pt idx="52">
                  <c:v>231.89099999999999</c:v>
                </c:pt>
                <c:pt idx="53">
                  <c:v>232.3304</c:v>
                </c:pt>
                <c:pt idx="54">
                  <c:v>232.76079999999996</c:v>
                </c:pt>
                <c:pt idx="55">
                  <c:v>233.1823</c:v>
                </c:pt>
                <c:pt idx="56">
                  <c:v>233.5949</c:v>
                </c:pt>
                <c:pt idx="57">
                  <c:v>233.99850000000001</c:v>
                </c:pt>
                <c:pt idx="58">
                  <c:v>234.39299999999997</c:v>
                </c:pt>
                <c:pt idx="59">
                  <c:v>234.77849999999998</c:v>
                </c:pt>
                <c:pt idx="60">
                  <c:v>235.15500000000003</c:v>
                </c:pt>
                <c:pt idx="61">
                  <c:v>235.5223</c:v>
                </c:pt>
                <c:pt idx="62">
                  <c:v>235.88050000000004</c:v>
                </c:pt>
                <c:pt idx="63">
                  <c:v>236.2295</c:v>
                </c:pt>
                <c:pt idx="64">
                  <c:v>236.56930000000003</c:v>
                </c:pt>
                <c:pt idx="65">
                  <c:v>236.89989999999997</c:v>
                </c:pt>
                <c:pt idx="66">
                  <c:v>237.22120000000001</c:v>
                </c:pt>
                <c:pt idx="67">
                  <c:v>237.53319999999999</c:v>
                </c:pt>
                <c:pt idx="68">
                  <c:v>237.83600000000001</c:v>
                </c:pt>
                <c:pt idx="69">
                  <c:v>238.12950000000001</c:v>
                </c:pt>
                <c:pt idx="70">
                  <c:v>238.4136</c:v>
                </c:pt>
                <c:pt idx="71">
                  <c:v>238.68829999999997</c:v>
                </c:pt>
                <c:pt idx="72">
                  <c:v>238.95359999999999</c:v>
                </c:pt>
                <c:pt idx="73">
                  <c:v>239.20959999999999</c:v>
                </c:pt>
                <c:pt idx="74">
                  <c:v>239.45609999999996</c:v>
                </c:pt>
                <c:pt idx="75">
                  <c:v>239.69310000000002</c:v>
                </c:pt>
                <c:pt idx="76">
                  <c:v>239.92070000000004</c:v>
                </c:pt>
                <c:pt idx="77">
                  <c:v>240.13890000000001</c:v>
                </c:pt>
                <c:pt idx="78">
                  <c:v>240.3475</c:v>
                </c:pt>
                <c:pt idx="79">
                  <c:v>240.54660000000004</c:v>
                </c:pt>
                <c:pt idx="80">
                  <c:v>240.7362</c:v>
                </c:pt>
                <c:pt idx="81">
                  <c:v>240.91620000000003</c:v>
                </c:pt>
                <c:pt idx="82">
                  <c:v>241.08670000000001</c:v>
                </c:pt>
                <c:pt idx="83">
                  <c:v>241.24760000000001</c:v>
                </c:pt>
                <c:pt idx="84">
                  <c:v>241.3989</c:v>
                </c:pt>
                <c:pt idx="85">
                  <c:v>241.54059999999998</c:v>
                </c:pt>
                <c:pt idx="86">
                  <c:v>241.67269999999999</c:v>
                </c:pt>
                <c:pt idx="87">
                  <c:v>241.79519999999997</c:v>
                </c:pt>
                <c:pt idx="88">
                  <c:v>241.90810000000002</c:v>
                </c:pt>
                <c:pt idx="89">
                  <c:v>242.01140000000001</c:v>
                </c:pt>
                <c:pt idx="90">
                  <c:v>242.10499999999996</c:v>
                </c:pt>
                <c:pt idx="91">
                  <c:v>242.18890000000002</c:v>
                </c:pt>
                <c:pt idx="92">
                  <c:v>242.26329999999999</c:v>
                </c:pt>
                <c:pt idx="93">
                  <c:v>242.3279</c:v>
                </c:pt>
                <c:pt idx="94">
                  <c:v>242.38290000000001</c:v>
                </c:pt>
                <c:pt idx="95">
                  <c:v>242.4282</c:v>
                </c:pt>
                <c:pt idx="96">
                  <c:v>242.46390000000002</c:v>
                </c:pt>
                <c:pt idx="97">
                  <c:v>242.4898</c:v>
                </c:pt>
                <c:pt idx="98">
                  <c:v>242.5061</c:v>
                </c:pt>
                <c:pt idx="99">
                  <c:v>242.5127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E99-BD14-ABFDC0980D8B}"/>
            </c:ext>
          </c:extLst>
        </c:ser>
        <c:ser>
          <c:idx val="1"/>
          <c:order val="1"/>
          <c:tx>
            <c:v>Cable2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pitchMovement!$9:$9</c:f>
              <c:numCache>
                <c:formatCode>0.0</c:formatCode>
                <c:ptCount val="16384"/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-39.200000000000003</c:v>
                </c:pt>
                <c:pt idx="6">
                  <c:v>-38.4</c:v>
                </c:pt>
                <c:pt idx="7">
                  <c:v>-37.6</c:v>
                </c:pt>
                <c:pt idx="8">
                  <c:v>-36.799999999999997</c:v>
                </c:pt>
                <c:pt idx="9">
                  <c:v>-36</c:v>
                </c:pt>
                <c:pt idx="10">
                  <c:v>-35.200000000000003</c:v>
                </c:pt>
                <c:pt idx="11">
                  <c:v>-34.400010000000002</c:v>
                </c:pt>
                <c:pt idx="12">
                  <c:v>-33.600009999999997</c:v>
                </c:pt>
                <c:pt idx="13">
                  <c:v>-32.80001</c:v>
                </c:pt>
                <c:pt idx="14">
                  <c:v>-32.000010000000003</c:v>
                </c:pt>
                <c:pt idx="15">
                  <c:v>-31.200009999999999</c:v>
                </c:pt>
                <c:pt idx="16">
                  <c:v>-30.400010000000002</c:v>
                </c:pt>
                <c:pt idx="17">
                  <c:v>-29.600010000000005</c:v>
                </c:pt>
                <c:pt idx="18">
                  <c:v>-28.800009999999997</c:v>
                </c:pt>
                <c:pt idx="19">
                  <c:v>-28.000009999999996</c:v>
                </c:pt>
                <c:pt idx="20">
                  <c:v>-27.200009999999999</c:v>
                </c:pt>
                <c:pt idx="21">
                  <c:v>-26.400010000000002</c:v>
                </c:pt>
                <c:pt idx="22">
                  <c:v>-25.600010000000005</c:v>
                </c:pt>
                <c:pt idx="23">
                  <c:v>-24.80001</c:v>
                </c:pt>
                <c:pt idx="24">
                  <c:v>-24.000019999999999</c:v>
                </c:pt>
                <c:pt idx="25">
                  <c:v>-23.200019999999999</c:v>
                </c:pt>
                <c:pt idx="26">
                  <c:v>-22.400020000000001</c:v>
                </c:pt>
                <c:pt idx="27">
                  <c:v>-21.600020000000001</c:v>
                </c:pt>
                <c:pt idx="28">
                  <c:v>-20.80002</c:v>
                </c:pt>
                <c:pt idx="29">
                  <c:v>-20.000019999999999</c:v>
                </c:pt>
                <c:pt idx="30">
                  <c:v>-19.200019999999999</c:v>
                </c:pt>
                <c:pt idx="31">
                  <c:v>-18.400020000000001</c:v>
                </c:pt>
                <c:pt idx="32">
                  <c:v>-17.600020000000001</c:v>
                </c:pt>
                <c:pt idx="33">
                  <c:v>-16.80002</c:v>
                </c:pt>
                <c:pt idx="34">
                  <c:v>-16.000019999999999</c:v>
                </c:pt>
                <c:pt idx="35">
                  <c:v>-15.20002</c:v>
                </c:pt>
                <c:pt idx="36">
                  <c:v>-14.400020000000001</c:v>
                </c:pt>
                <c:pt idx="37">
                  <c:v>-13.600020000000001</c:v>
                </c:pt>
                <c:pt idx="38">
                  <c:v>-12.80002</c:v>
                </c:pt>
                <c:pt idx="39">
                  <c:v>-12.000019999999999</c:v>
                </c:pt>
                <c:pt idx="40">
                  <c:v>-11.20002</c:v>
                </c:pt>
                <c:pt idx="41">
                  <c:v>-10.40002</c:v>
                </c:pt>
                <c:pt idx="42">
                  <c:v>-9.6000209999999999</c:v>
                </c:pt>
                <c:pt idx="43">
                  <c:v>-8.8000209999999992</c:v>
                </c:pt>
                <c:pt idx="44">
                  <c:v>-8.0000210000000003</c:v>
                </c:pt>
                <c:pt idx="45">
                  <c:v>-7.2000209999999996</c:v>
                </c:pt>
                <c:pt idx="46">
                  <c:v>-6.4000209999999997</c:v>
                </c:pt>
                <c:pt idx="47">
                  <c:v>-5.6000199999999998</c:v>
                </c:pt>
                <c:pt idx="48">
                  <c:v>-4.80002</c:v>
                </c:pt>
                <c:pt idx="49">
                  <c:v>-4.0000200000000001</c:v>
                </c:pt>
                <c:pt idx="50">
                  <c:v>-3.2000199999999999</c:v>
                </c:pt>
                <c:pt idx="51">
                  <c:v>-2.40002</c:v>
                </c:pt>
                <c:pt idx="52">
                  <c:v>-1.60002</c:v>
                </c:pt>
                <c:pt idx="53">
                  <c:v>-0.80002019999999996</c:v>
                </c:pt>
                <c:pt idx="54">
                  <c:v>-2.0146369999999999E-5</c:v>
                </c:pt>
                <c:pt idx="55">
                  <c:v>0.79997989999999997</c:v>
                </c:pt>
                <c:pt idx="56">
                  <c:v>1.59998</c:v>
                </c:pt>
                <c:pt idx="57">
                  <c:v>2.3999799999999998</c:v>
                </c:pt>
                <c:pt idx="58">
                  <c:v>3.19998</c:v>
                </c:pt>
                <c:pt idx="59">
                  <c:v>3.9999799999999999</c:v>
                </c:pt>
                <c:pt idx="60">
                  <c:v>4.7999799999999997</c:v>
                </c:pt>
                <c:pt idx="61">
                  <c:v>5.5999800000000004</c:v>
                </c:pt>
                <c:pt idx="62">
                  <c:v>6.3999800000000002</c:v>
                </c:pt>
                <c:pt idx="63">
                  <c:v>7.1999799999999992</c:v>
                </c:pt>
                <c:pt idx="64">
                  <c:v>7.999979999999999</c:v>
                </c:pt>
                <c:pt idx="65">
                  <c:v>8.7999799999999997</c:v>
                </c:pt>
                <c:pt idx="66">
                  <c:v>9.5999800000000004</c:v>
                </c:pt>
                <c:pt idx="67">
                  <c:v>10.399979999999999</c:v>
                </c:pt>
                <c:pt idx="68">
                  <c:v>11.19998</c:v>
                </c:pt>
                <c:pt idx="69">
                  <c:v>11.999980000000001</c:v>
                </c:pt>
                <c:pt idx="70">
                  <c:v>12.79998</c:v>
                </c:pt>
                <c:pt idx="71">
                  <c:v>13.599979999999999</c:v>
                </c:pt>
                <c:pt idx="72">
                  <c:v>14.399979999999999</c:v>
                </c:pt>
                <c:pt idx="73">
                  <c:v>15.19998</c:v>
                </c:pt>
                <c:pt idx="74">
                  <c:v>15.999979999999999</c:v>
                </c:pt>
                <c:pt idx="75">
                  <c:v>16.799980000000001</c:v>
                </c:pt>
                <c:pt idx="76">
                  <c:v>17.599979999999999</c:v>
                </c:pt>
                <c:pt idx="77">
                  <c:v>18.399979999999999</c:v>
                </c:pt>
                <c:pt idx="78">
                  <c:v>19.19998</c:v>
                </c:pt>
                <c:pt idx="79">
                  <c:v>19.999980000000001</c:v>
                </c:pt>
                <c:pt idx="80">
                  <c:v>20.799980000000001</c:v>
                </c:pt>
                <c:pt idx="81">
                  <c:v>21.599979999999999</c:v>
                </c:pt>
                <c:pt idx="82">
                  <c:v>22.399979999999999</c:v>
                </c:pt>
                <c:pt idx="83">
                  <c:v>23.19998</c:v>
                </c:pt>
                <c:pt idx="84">
                  <c:v>23.999980000000001</c:v>
                </c:pt>
                <c:pt idx="85">
                  <c:v>24.799969999999998</c:v>
                </c:pt>
                <c:pt idx="86">
                  <c:v>25.599969999999999</c:v>
                </c:pt>
                <c:pt idx="87">
                  <c:v>26.399970000000003</c:v>
                </c:pt>
                <c:pt idx="88">
                  <c:v>27.19997</c:v>
                </c:pt>
                <c:pt idx="89">
                  <c:v>27.999970000000001</c:v>
                </c:pt>
                <c:pt idx="90">
                  <c:v>28.799969999999995</c:v>
                </c:pt>
                <c:pt idx="91">
                  <c:v>29.599969999999995</c:v>
                </c:pt>
                <c:pt idx="92">
                  <c:v>30.399970000000003</c:v>
                </c:pt>
                <c:pt idx="93">
                  <c:v>31.19997</c:v>
                </c:pt>
                <c:pt idx="94">
                  <c:v>31.999970000000001</c:v>
                </c:pt>
                <c:pt idx="95">
                  <c:v>32.799970000000002</c:v>
                </c:pt>
                <c:pt idx="96">
                  <c:v>33.599969999999999</c:v>
                </c:pt>
                <c:pt idx="97">
                  <c:v>34.399970000000003</c:v>
                </c:pt>
                <c:pt idx="98">
                  <c:v>35.19997</c:v>
                </c:pt>
                <c:pt idx="99">
                  <c:v>35.999969999999998</c:v>
                </c:pt>
              </c:numCache>
            </c:numRef>
          </c:cat>
          <c:val>
            <c:numRef>
              <c:f>pitchMovement!$A$12:$CV$12</c:f>
              <c:numCache>
                <c:formatCode>General</c:formatCode>
                <c:ptCount val="100"/>
                <c:pt idx="0">
                  <c:v>369.73149999999998</c:v>
                </c:pt>
                <c:pt idx="1">
                  <c:v>369.73149999999998</c:v>
                </c:pt>
                <c:pt idx="2">
                  <c:v>369.73149999999998</c:v>
                </c:pt>
                <c:pt idx="3">
                  <c:v>369.73149999999998</c:v>
                </c:pt>
                <c:pt idx="4">
                  <c:v>369.73149999999998</c:v>
                </c:pt>
                <c:pt idx="5">
                  <c:v>369.73149999999998</c:v>
                </c:pt>
                <c:pt idx="6">
                  <c:v>367.41789999999997</c:v>
                </c:pt>
                <c:pt idx="7">
                  <c:v>365.08850000000001</c:v>
                </c:pt>
                <c:pt idx="8">
                  <c:v>362.74340000000001</c:v>
                </c:pt>
                <c:pt idx="9">
                  <c:v>360.38290000000001</c:v>
                </c:pt>
                <c:pt idx="10">
                  <c:v>358.00709999999998</c:v>
                </c:pt>
                <c:pt idx="11">
                  <c:v>355.61610000000002</c:v>
                </c:pt>
                <c:pt idx="12">
                  <c:v>353.21010000000001</c:v>
                </c:pt>
                <c:pt idx="13">
                  <c:v>350.78930000000003</c:v>
                </c:pt>
                <c:pt idx="14">
                  <c:v>348.35390000000001</c:v>
                </c:pt>
                <c:pt idx="15">
                  <c:v>345.90390000000002</c:v>
                </c:pt>
                <c:pt idx="16">
                  <c:v>343.43959999999998</c:v>
                </c:pt>
                <c:pt idx="17">
                  <c:v>340.96120000000002</c:v>
                </c:pt>
                <c:pt idx="18">
                  <c:v>338.46879999999999</c:v>
                </c:pt>
                <c:pt idx="19">
                  <c:v>335.96260000000001</c:v>
                </c:pt>
                <c:pt idx="20">
                  <c:v>333.44279999999998</c:v>
                </c:pt>
                <c:pt idx="21">
                  <c:v>330.90960000000001</c:v>
                </c:pt>
                <c:pt idx="22">
                  <c:v>328.36320000000001</c:v>
                </c:pt>
                <c:pt idx="23">
                  <c:v>325.80369999999999</c:v>
                </c:pt>
                <c:pt idx="24">
                  <c:v>323.23140000000001</c:v>
                </c:pt>
                <c:pt idx="25">
                  <c:v>320.6465</c:v>
                </c:pt>
                <c:pt idx="26">
                  <c:v>318.04910000000001</c:v>
                </c:pt>
                <c:pt idx="27">
                  <c:v>315.43950000000001</c:v>
                </c:pt>
                <c:pt idx="28">
                  <c:v>312.81779999999998</c:v>
                </c:pt>
                <c:pt idx="29">
                  <c:v>310.18439999999998</c:v>
                </c:pt>
                <c:pt idx="30">
                  <c:v>307.53930000000003</c:v>
                </c:pt>
                <c:pt idx="31">
                  <c:v>304.88290000000001</c:v>
                </c:pt>
                <c:pt idx="32">
                  <c:v>302.21530000000001</c:v>
                </c:pt>
                <c:pt idx="33">
                  <c:v>299.53680000000003</c:v>
                </c:pt>
                <c:pt idx="34">
                  <c:v>296.8476</c:v>
                </c:pt>
                <c:pt idx="35">
                  <c:v>294.14800000000002</c:v>
                </c:pt>
                <c:pt idx="36">
                  <c:v>291.43810000000002</c:v>
                </c:pt>
                <c:pt idx="37">
                  <c:v>288.71839999999997</c:v>
                </c:pt>
                <c:pt idx="38">
                  <c:v>285.98880000000003</c:v>
                </c:pt>
                <c:pt idx="39">
                  <c:v>283.24990000000003</c:v>
                </c:pt>
                <c:pt idx="40">
                  <c:v>280.50170000000003</c:v>
                </c:pt>
                <c:pt idx="41">
                  <c:v>277.74470000000002</c:v>
                </c:pt>
                <c:pt idx="42">
                  <c:v>274.97899999999998</c:v>
                </c:pt>
                <c:pt idx="43">
                  <c:v>272.20499999999998</c:v>
                </c:pt>
                <c:pt idx="44">
                  <c:v>269.42290000000003</c:v>
                </c:pt>
                <c:pt idx="45">
                  <c:v>266.63310000000001</c:v>
                </c:pt>
                <c:pt idx="46">
                  <c:v>263.83580000000001</c:v>
                </c:pt>
                <c:pt idx="47">
                  <c:v>261.03140000000002</c:v>
                </c:pt>
                <c:pt idx="48">
                  <c:v>258.22019999999998</c:v>
                </c:pt>
                <c:pt idx="49">
                  <c:v>255.4025</c:v>
                </c:pt>
                <c:pt idx="50">
                  <c:v>252.57859999999999</c:v>
                </c:pt>
                <c:pt idx="51">
                  <c:v>249.74899999999997</c:v>
                </c:pt>
                <c:pt idx="52">
                  <c:v>246.91399999999999</c:v>
                </c:pt>
                <c:pt idx="53">
                  <c:v>244.07380000000003</c:v>
                </c:pt>
                <c:pt idx="54">
                  <c:v>241.22909999999996</c:v>
                </c:pt>
                <c:pt idx="55">
                  <c:v>238.38000000000002</c:v>
                </c:pt>
                <c:pt idx="56">
                  <c:v>235.52709999999996</c:v>
                </c:pt>
                <c:pt idx="57">
                  <c:v>232.67080000000001</c:v>
                </c:pt>
                <c:pt idx="58">
                  <c:v>229.81139999999999</c:v>
                </c:pt>
                <c:pt idx="59">
                  <c:v>226.9496</c:v>
                </c:pt>
                <c:pt idx="60">
                  <c:v>224.08559999999997</c:v>
                </c:pt>
                <c:pt idx="61">
                  <c:v>221.2201</c:v>
                </c:pt>
                <c:pt idx="62">
                  <c:v>218.3536</c:v>
                </c:pt>
                <c:pt idx="63">
                  <c:v>215.4864</c:v>
                </c:pt>
                <c:pt idx="64">
                  <c:v>212.61930000000001</c:v>
                </c:pt>
                <c:pt idx="65">
                  <c:v>209.7527</c:v>
                </c:pt>
                <c:pt idx="66">
                  <c:v>206.88730000000001</c:v>
                </c:pt>
                <c:pt idx="67">
                  <c:v>204.02369999999999</c:v>
                </c:pt>
                <c:pt idx="68">
                  <c:v>201.1626</c:v>
                </c:pt>
                <c:pt idx="69">
                  <c:v>198.30449999999999</c:v>
                </c:pt>
                <c:pt idx="70">
                  <c:v>195.4503</c:v>
                </c:pt>
                <c:pt idx="71">
                  <c:v>192.60059999999999</c:v>
                </c:pt>
                <c:pt idx="72">
                  <c:v>189.75620000000001</c:v>
                </c:pt>
                <c:pt idx="73">
                  <c:v>186.91800000000001</c:v>
                </c:pt>
                <c:pt idx="74">
                  <c:v>184.08680000000001</c:v>
                </c:pt>
                <c:pt idx="75">
                  <c:v>181.26339999999999</c:v>
                </c:pt>
                <c:pt idx="76">
                  <c:v>178.44890000000001</c:v>
                </c:pt>
                <c:pt idx="77">
                  <c:v>175.64410000000001</c:v>
                </c:pt>
                <c:pt idx="78">
                  <c:v>172.8503</c:v>
                </c:pt>
                <c:pt idx="79">
                  <c:v>170.06829999999999</c:v>
                </c:pt>
                <c:pt idx="80">
                  <c:v>167.29939999999999</c:v>
                </c:pt>
                <c:pt idx="81">
                  <c:v>164.54480000000001</c:v>
                </c:pt>
                <c:pt idx="82">
                  <c:v>161.8058</c:v>
                </c:pt>
                <c:pt idx="83">
                  <c:v>159.0838</c:v>
                </c:pt>
                <c:pt idx="84">
                  <c:v>156.3801</c:v>
                </c:pt>
                <c:pt idx="85">
                  <c:v>153.6962</c:v>
                </c:pt>
                <c:pt idx="86">
                  <c:v>151.03380000000001</c:v>
                </c:pt>
                <c:pt idx="87">
                  <c:v>148.3946</c:v>
                </c:pt>
                <c:pt idx="88">
                  <c:v>145.78030000000001</c:v>
                </c:pt>
                <c:pt idx="89">
                  <c:v>143.19290000000001</c:v>
                </c:pt>
                <c:pt idx="90">
                  <c:v>140.63419999999999</c:v>
                </c:pt>
                <c:pt idx="91">
                  <c:v>138.10659999999999</c:v>
                </c:pt>
                <c:pt idx="92">
                  <c:v>135.6121</c:v>
                </c:pt>
                <c:pt idx="93">
                  <c:v>133.15309999999999</c:v>
                </c:pt>
                <c:pt idx="94">
                  <c:v>130.73220000000001</c:v>
                </c:pt>
                <c:pt idx="95">
                  <c:v>128.352</c:v>
                </c:pt>
                <c:pt idx="96">
                  <c:v>126.01520000000001</c:v>
                </c:pt>
                <c:pt idx="97">
                  <c:v>123.7248</c:v>
                </c:pt>
                <c:pt idx="98">
                  <c:v>121.48389999999999</c:v>
                </c:pt>
                <c:pt idx="99">
                  <c:v>119.29569999999998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6-4E99-BD14-ABFDC0980D8B}"/>
            </c:ext>
          </c:extLst>
        </c:ser>
        <c:ser>
          <c:idx val="2"/>
          <c:order val="2"/>
          <c:tx>
            <c:v>Cable3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pitchMovement!$9:$9</c:f>
              <c:numCache>
                <c:formatCode>0.0</c:formatCode>
                <c:ptCount val="16384"/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-39.200000000000003</c:v>
                </c:pt>
                <c:pt idx="6">
                  <c:v>-38.4</c:v>
                </c:pt>
                <c:pt idx="7">
                  <c:v>-37.6</c:v>
                </c:pt>
                <c:pt idx="8">
                  <c:v>-36.799999999999997</c:v>
                </c:pt>
                <c:pt idx="9">
                  <c:v>-36</c:v>
                </c:pt>
                <c:pt idx="10">
                  <c:v>-35.200000000000003</c:v>
                </c:pt>
                <c:pt idx="11">
                  <c:v>-34.400010000000002</c:v>
                </c:pt>
                <c:pt idx="12">
                  <c:v>-33.600009999999997</c:v>
                </c:pt>
                <c:pt idx="13">
                  <c:v>-32.80001</c:v>
                </c:pt>
                <c:pt idx="14">
                  <c:v>-32.000010000000003</c:v>
                </c:pt>
                <c:pt idx="15">
                  <c:v>-31.200009999999999</c:v>
                </c:pt>
                <c:pt idx="16">
                  <c:v>-30.400010000000002</c:v>
                </c:pt>
                <c:pt idx="17">
                  <c:v>-29.600010000000005</c:v>
                </c:pt>
                <c:pt idx="18">
                  <c:v>-28.800009999999997</c:v>
                </c:pt>
                <c:pt idx="19">
                  <c:v>-28.000009999999996</c:v>
                </c:pt>
                <c:pt idx="20">
                  <c:v>-27.200009999999999</c:v>
                </c:pt>
                <c:pt idx="21">
                  <c:v>-26.400010000000002</c:v>
                </c:pt>
                <c:pt idx="22">
                  <c:v>-25.600010000000005</c:v>
                </c:pt>
                <c:pt idx="23">
                  <c:v>-24.80001</c:v>
                </c:pt>
                <c:pt idx="24">
                  <c:v>-24.000019999999999</c:v>
                </c:pt>
                <c:pt idx="25">
                  <c:v>-23.200019999999999</c:v>
                </c:pt>
                <c:pt idx="26">
                  <c:v>-22.400020000000001</c:v>
                </c:pt>
                <c:pt idx="27">
                  <c:v>-21.600020000000001</c:v>
                </c:pt>
                <c:pt idx="28">
                  <c:v>-20.80002</c:v>
                </c:pt>
                <c:pt idx="29">
                  <c:v>-20.000019999999999</c:v>
                </c:pt>
                <c:pt idx="30">
                  <c:v>-19.200019999999999</c:v>
                </c:pt>
                <c:pt idx="31">
                  <c:v>-18.400020000000001</c:v>
                </c:pt>
                <c:pt idx="32">
                  <c:v>-17.600020000000001</c:v>
                </c:pt>
                <c:pt idx="33">
                  <c:v>-16.80002</c:v>
                </c:pt>
                <c:pt idx="34">
                  <c:v>-16.000019999999999</c:v>
                </c:pt>
                <c:pt idx="35">
                  <c:v>-15.20002</c:v>
                </c:pt>
                <c:pt idx="36">
                  <c:v>-14.400020000000001</c:v>
                </c:pt>
                <c:pt idx="37">
                  <c:v>-13.600020000000001</c:v>
                </c:pt>
                <c:pt idx="38">
                  <c:v>-12.80002</c:v>
                </c:pt>
                <c:pt idx="39">
                  <c:v>-12.000019999999999</c:v>
                </c:pt>
                <c:pt idx="40">
                  <c:v>-11.20002</c:v>
                </c:pt>
                <c:pt idx="41">
                  <c:v>-10.40002</c:v>
                </c:pt>
                <c:pt idx="42">
                  <c:v>-9.6000209999999999</c:v>
                </c:pt>
                <c:pt idx="43">
                  <c:v>-8.8000209999999992</c:v>
                </c:pt>
                <c:pt idx="44">
                  <c:v>-8.0000210000000003</c:v>
                </c:pt>
                <c:pt idx="45">
                  <c:v>-7.2000209999999996</c:v>
                </c:pt>
                <c:pt idx="46">
                  <c:v>-6.4000209999999997</c:v>
                </c:pt>
                <c:pt idx="47">
                  <c:v>-5.6000199999999998</c:v>
                </c:pt>
                <c:pt idx="48">
                  <c:v>-4.80002</c:v>
                </c:pt>
                <c:pt idx="49">
                  <c:v>-4.0000200000000001</c:v>
                </c:pt>
                <c:pt idx="50">
                  <c:v>-3.2000199999999999</c:v>
                </c:pt>
                <c:pt idx="51">
                  <c:v>-2.40002</c:v>
                </c:pt>
                <c:pt idx="52">
                  <c:v>-1.60002</c:v>
                </c:pt>
                <c:pt idx="53">
                  <c:v>-0.80002019999999996</c:v>
                </c:pt>
                <c:pt idx="54">
                  <c:v>-2.0146369999999999E-5</c:v>
                </c:pt>
                <c:pt idx="55">
                  <c:v>0.79997989999999997</c:v>
                </c:pt>
                <c:pt idx="56">
                  <c:v>1.59998</c:v>
                </c:pt>
                <c:pt idx="57">
                  <c:v>2.3999799999999998</c:v>
                </c:pt>
                <c:pt idx="58">
                  <c:v>3.19998</c:v>
                </c:pt>
                <c:pt idx="59">
                  <c:v>3.9999799999999999</c:v>
                </c:pt>
                <c:pt idx="60">
                  <c:v>4.7999799999999997</c:v>
                </c:pt>
                <c:pt idx="61">
                  <c:v>5.5999800000000004</c:v>
                </c:pt>
                <c:pt idx="62">
                  <c:v>6.3999800000000002</c:v>
                </c:pt>
                <c:pt idx="63">
                  <c:v>7.1999799999999992</c:v>
                </c:pt>
                <c:pt idx="64">
                  <c:v>7.999979999999999</c:v>
                </c:pt>
                <c:pt idx="65">
                  <c:v>8.7999799999999997</c:v>
                </c:pt>
                <c:pt idx="66">
                  <c:v>9.5999800000000004</c:v>
                </c:pt>
                <c:pt idx="67">
                  <c:v>10.399979999999999</c:v>
                </c:pt>
                <c:pt idx="68">
                  <c:v>11.19998</c:v>
                </c:pt>
                <c:pt idx="69">
                  <c:v>11.999980000000001</c:v>
                </c:pt>
                <c:pt idx="70">
                  <c:v>12.79998</c:v>
                </c:pt>
                <c:pt idx="71">
                  <c:v>13.599979999999999</c:v>
                </c:pt>
                <c:pt idx="72">
                  <c:v>14.399979999999999</c:v>
                </c:pt>
                <c:pt idx="73">
                  <c:v>15.19998</c:v>
                </c:pt>
                <c:pt idx="74">
                  <c:v>15.999979999999999</c:v>
                </c:pt>
                <c:pt idx="75">
                  <c:v>16.799980000000001</c:v>
                </c:pt>
                <c:pt idx="76">
                  <c:v>17.599979999999999</c:v>
                </c:pt>
                <c:pt idx="77">
                  <c:v>18.399979999999999</c:v>
                </c:pt>
                <c:pt idx="78">
                  <c:v>19.19998</c:v>
                </c:pt>
                <c:pt idx="79">
                  <c:v>19.999980000000001</c:v>
                </c:pt>
                <c:pt idx="80">
                  <c:v>20.799980000000001</c:v>
                </c:pt>
                <c:pt idx="81">
                  <c:v>21.599979999999999</c:v>
                </c:pt>
                <c:pt idx="82">
                  <c:v>22.399979999999999</c:v>
                </c:pt>
                <c:pt idx="83">
                  <c:v>23.19998</c:v>
                </c:pt>
                <c:pt idx="84">
                  <c:v>23.999980000000001</c:v>
                </c:pt>
                <c:pt idx="85">
                  <c:v>24.799969999999998</c:v>
                </c:pt>
                <c:pt idx="86">
                  <c:v>25.599969999999999</c:v>
                </c:pt>
                <c:pt idx="87">
                  <c:v>26.399970000000003</c:v>
                </c:pt>
                <c:pt idx="88">
                  <c:v>27.19997</c:v>
                </c:pt>
                <c:pt idx="89">
                  <c:v>27.999970000000001</c:v>
                </c:pt>
                <c:pt idx="90">
                  <c:v>28.799969999999995</c:v>
                </c:pt>
                <c:pt idx="91">
                  <c:v>29.599969999999995</c:v>
                </c:pt>
                <c:pt idx="92">
                  <c:v>30.399970000000003</c:v>
                </c:pt>
                <c:pt idx="93">
                  <c:v>31.19997</c:v>
                </c:pt>
                <c:pt idx="94">
                  <c:v>31.999970000000001</c:v>
                </c:pt>
                <c:pt idx="95">
                  <c:v>32.799970000000002</c:v>
                </c:pt>
                <c:pt idx="96">
                  <c:v>33.599969999999999</c:v>
                </c:pt>
                <c:pt idx="97">
                  <c:v>34.399970000000003</c:v>
                </c:pt>
                <c:pt idx="98">
                  <c:v>35.19997</c:v>
                </c:pt>
                <c:pt idx="99">
                  <c:v>35.999969999999998</c:v>
                </c:pt>
              </c:numCache>
            </c:numRef>
          </c:cat>
          <c:val>
            <c:numRef>
              <c:f>pitchMovement!$A$13:$CV$13</c:f>
              <c:numCache>
                <c:formatCode>General</c:formatCode>
                <c:ptCount val="100"/>
                <c:pt idx="0">
                  <c:v>369.73149999999998</c:v>
                </c:pt>
                <c:pt idx="1">
                  <c:v>369.73149999999998</c:v>
                </c:pt>
                <c:pt idx="2">
                  <c:v>369.73149999999998</c:v>
                </c:pt>
                <c:pt idx="3">
                  <c:v>369.73149999999998</c:v>
                </c:pt>
                <c:pt idx="4">
                  <c:v>369.73149999999998</c:v>
                </c:pt>
                <c:pt idx="5">
                  <c:v>369.73149999999998</c:v>
                </c:pt>
                <c:pt idx="6">
                  <c:v>367.41789999999997</c:v>
                </c:pt>
                <c:pt idx="7">
                  <c:v>365.08850000000001</c:v>
                </c:pt>
                <c:pt idx="8">
                  <c:v>362.74340000000001</c:v>
                </c:pt>
                <c:pt idx="9">
                  <c:v>360.38290000000001</c:v>
                </c:pt>
                <c:pt idx="10">
                  <c:v>358.00709999999998</c:v>
                </c:pt>
                <c:pt idx="11">
                  <c:v>355.61610000000002</c:v>
                </c:pt>
                <c:pt idx="12">
                  <c:v>353.21010000000001</c:v>
                </c:pt>
                <c:pt idx="13">
                  <c:v>350.78930000000003</c:v>
                </c:pt>
                <c:pt idx="14">
                  <c:v>348.35390000000001</c:v>
                </c:pt>
                <c:pt idx="15">
                  <c:v>345.90390000000002</c:v>
                </c:pt>
                <c:pt idx="16">
                  <c:v>343.43959999999998</c:v>
                </c:pt>
                <c:pt idx="17">
                  <c:v>340.96120000000002</c:v>
                </c:pt>
                <c:pt idx="18">
                  <c:v>338.46879999999999</c:v>
                </c:pt>
                <c:pt idx="19">
                  <c:v>335.96260000000001</c:v>
                </c:pt>
                <c:pt idx="20">
                  <c:v>333.44279999999998</c:v>
                </c:pt>
                <c:pt idx="21">
                  <c:v>330.90960000000001</c:v>
                </c:pt>
                <c:pt idx="22">
                  <c:v>328.36320000000001</c:v>
                </c:pt>
                <c:pt idx="23">
                  <c:v>325.80369999999999</c:v>
                </c:pt>
                <c:pt idx="24">
                  <c:v>323.23140000000001</c:v>
                </c:pt>
                <c:pt idx="25">
                  <c:v>320.6465</c:v>
                </c:pt>
                <c:pt idx="26">
                  <c:v>318.04910000000001</c:v>
                </c:pt>
                <c:pt idx="27">
                  <c:v>315.43950000000001</c:v>
                </c:pt>
                <c:pt idx="28">
                  <c:v>312.81779999999998</c:v>
                </c:pt>
                <c:pt idx="29">
                  <c:v>310.18439999999998</c:v>
                </c:pt>
                <c:pt idx="30">
                  <c:v>307.53930000000003</c:v>
                </c:pt>
                <c:pt idx="31">
                  <c:v>304.88290000000001</c:v>
                </c:pt>
                <c:pt idx="32">
                  <c:v>302.21530000000001</c:v>
                </c:pt>
                <c:pt idx="33">
                  <c:v>299.53680000000003</c:v>
                </c:pt>
                <c:pt idx="34">
                  <c:v>296.8476</c:v>
                </c:pt>
                <c:pt idx="35">
                  <c:v>294.14800000000002</c:v>
                </c:pt>
                <c:pt idx="36">
                  <c:v>291.43810000000002</c:v>
                </c:pt>
                <c:pt idx="37">
                  <c:v>288.71839999999997</c:v>
                </c:pt>
                <c:pt idx="38">
                  <c:v>285.98880000000003</c:v>
                </c:pt>
                <c:pt idx="39">
                  <c:v>283.24990000000003</c:v>
                </c:pt>
                <c:pt idx="40">
                  <c:v>280.50170000000003</c:v>
                </c:pt>
                <c:pt idx="41">
                  <c:v>277.74470000000002</c:v>
                </c:pt>
                <c:pt idx="42">
                  <c:v>274.97899999999998</c:v>
                </c:pt>
                <c:pt idx="43">
                  <c:v>272.20499999999998</c:v>
                </c:pt>
                <c:pt idx="44">
                  <c:v>269.42290000000003</c:v>
                </c:pt>
                <c:pt idx="45">
                  <c:v>266.63310000000001</c:v>
                </c:pt>
                <c:pt idx="46">
                  <c:v>263.83580000000001</c:v>
                </c:pt>
                <c:pt idx="47">
                  <c:v>261.03140000000002</c:v>
                </c:pt>
                <c:pt idx="48">
                  <c:v>258.22019999999998</c:v>
                </c:pt>
                <c:pt idx="49">
                  <c:v>255.4025</c:v>
                </c:pt>
                <c:pt idx="50">
                  <c:v>252.57859999999999</c:v>
                </c:pt>
                <c:pt idx="51">
                  <c:v>249.74899999999997</c:v>
                </c:pt>
                <c:pt idx="52">
                  <c:v>246.91399999999999</c:v>
                </c:pt>
                <c:pt idx="53">
                  <c:v>244.07380000000003</c:v>
                </c:pt>
                <c:pt idx="54">
                  <c:v>241.22909999999996</c:v>
                </c:pt>
                <c:pt idx="55">
                  <c:v>238.38000000000002</c:v>
                </c:pt>
                <c:pt idx="56">
                  <c:v>235.52709999999996</c:v>
                </c:pt>
                <c:pt idx="57">
                  <c:v>232.67080000000001</c:v>
                </c:pt>
                <c:pt idx="58">
                  <c:v>229.81139999999999</c:v>
                </c:pt>
                <c:pt idx="59">
                  <c:v>226.9496</c:v>
                </c:pt>
                <c:pt idx="60">
                  <c:v>224.08559999999997</c:v>
                </c:pt>
                <c:pt idx="61">
                  <c:v>221.2201</c:v>
                </c:pt>
                <c:pt idx="62">
                  <c:v>218.3536</c:v>
                </c:pt>
                <c:pt idx="63">
                  <c:v>215.4864</c:v>
                </c:pt>
                <c:pt idx="64">
                  <c:v>212.61930000000001</c:v>
                </c:pt>
                <c:pt idx="65">
                  <c:v>209.7527</c:v>
                </c:pt>
                <c:pt idx="66">
                  <c:v>206.88730000000001</c:v>
                </c:pt>
                <c:pt idx="67">
                  <c:v>204.02369999999999</c:v>
                </c:pt>
                <c:pt idx="68">
                  <c:v>201.1626</c:v>
                </c:pt>
                <c:pt idx="69">
                  <c:v>198.30449999999999</c:v>
                </c:pt>
                <c:pt idx="70">
                  <c:v>195.4503</c:v>
                </c:pt>
                <c:pt idx="71">
                  <c:v>192.60059999999999</c:v>
                </c:pt>
                <c:pt idx="72">
                  <c:v>189.75620000000001</c:v>
                </c:pt>
                <c:pt idx="73">
                  <c:v>186.91800000000001</c:v>
                </c:pt>
                <c:pt idx="74">
                  <c:v>184.08680000000001</c:v>
                </c:pt>
                <c:pt idx="75">
                  <c:v>181.26339999999999</c:v>
                </c:pt>
                <c:pt idx="76">
                  <c:v>178.44890000000001</c:v>
                </c:pt>
                <c:pt idx="77">
                  <c:v>175.64410000000001</c:v>
                </c:pt>
                <c:pt idx="78">
                  <c:v>172.8503</c:v>
                </c:pt>
                <c:pt idx="79">
                  <c:v>170.06829999999999</c:v>
                </c:pt>
                <c:pt idx="80">
                  <c:v>167.29939999999999</c:v>
                </c:pt>
                <c:pt idx="81">
                  <c:v>164.54480000000001</c:v>
                </c:pt>
                <c:pt idx="82">
                  <c:v>161.8058</c:v>
                </c:pt>
                <c:pt idx="83">
                  <c:v>159.0838</c:v>
                </c:pt>
                <c:pt idx="84">
                  <c:v>156.3801</c:v>
                </c:pt>
                <c:pt idx="85">
                  <c:v>153.6962</c:v>
                </c:pt>
                <c:pt idx="86">
                  <c:v>151.03380000000001</c:v>
                </c:pt>
                <c:pt idx="87">
                  <c:v>148.3946</c:v>
                </c:pt>
                <c:pt idx="88">
                  <c:v>145.78030000000001</c:v>
                </c:pt>
                <c:pt idx="89">
                  <c:v>143.19290000000001</c:v>
                </c:pt>
                <c:pt idx="90">
                  <c:v>140.63419999999999</c:v>
                </c:pt>
                <c:pt idx="91">
                  <c:v>138.10659999999999</c:v>
                </c:pt>
                <c:pt idx="92">
                  <c:v>135.6121</c:v>
                </c:pt>
                <c:pt idx="93">
                  <c:v>133.15309999999999</c:v>
                </c:pt>
                <c:pt idx="94">
                  <c:v>130.73220000000001</c:v>
                </c:pt>
                <c:pt idx="95">
                  <c:v>128.352</c:v>
                </c:pt>
                <c:pt idx="96">
                  <c:v>126.01520000000001</c:v>
                </c:pt>
                <c:pt idx="97">
                  <c:v>123.7248</c:v>
                </c:pt>
                <c:pt idx="98">
                  <c:v>121.48389999999999</c:v>
                </c:pt>
                <c:pt idx="99">
                  <c:v>119.29569999999998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6-4E99-BD14-ABFDC0980D8B}"/>
            </c:ext>
          </c:extLst>
        </c:ser>
        <c:ser>
          <c:idx val="3"/>
          <c:order val="3"/>
          <c:tx>
            <c:v>Cable4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pitchMovement!$9:$9</c:f>
              <c:numCache>
                <c:formatCode>0.0</c:formatCode>
                <c:ptCount val="16384"/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-39.200000000000003</c:v>
                </c:pt>
                <c:pt idx="6">
                  <c:v>-38.4</c:v>
                </c:pt>
                <c:pt idx="7">
                  <c:v>-37.6</c:v>
                </c:pt>
                <c:pt idx="8">
                  <c:v>-36.799999999999997</c:v>
                </c:pt>
                <c:pt idx="9">
                  <c:v>-36</c:v>
                </c:pt>
                <c:pt idx="10">
                  <c:v>-35.200000000000003</c:v>
                </c:pt>
                <c:pt idx="11">
                  <c:v>-34.400010000000002</c:v>
                </c:pt>
                <c:pt idx="12">
                  <c:v>-33.600009999999997</c:v>
                </c:pt>
                <c:pt idx="13">
                  <c:v>-32.80001</c:v>
                </c:pt>
                <c:pt idx="14">
                  <c:v>-32.000010000000003</c:v>
                </c:pt>
                <c:pt idx="15">
                  <c:v>-31.200009999999999</c:v>
                </c:pt>
                <c:pt idx="16">
                  <c:v>-30.400010000000002</c:v>
                </c:pt>
                <c:pt idx="17">
                  <c:v>-29.600010000000005</c:v>
                </c:pt>
                <c:pt idx="18">
                  <c:v>-28.800009999999997</c:v>
                </c:pt>
                <c:pt idx="19">
                  <c:v>-28.000009999999996</c:v>
                </c:pt>
                <c:pt idx="20">
                  <c:v>-27.200009999999999</c:v>
                </c:pt>
                <c:pt idx="21">
                  <c:v>-26.400010000000002</c:v>
                </c:pt>
                <c:pt idx="22">
                  <c:v>-25.600010000000005</c:v>
                </c:pt>
                <c:pt idx="23">
                  <c:v>-24.80001</c:v>
                </c:pt>
                <c:pt idx="24">
                  <c:v>-24.000019999999999</c:v>
                </c:pt>
                <c:pt idx="25">
                  <c:v>-23.200019999999999</c:v>
                </c:pt>
                <c:pt idx="26">
                  <c:v>-22.400020000000001</c:v>
                </c:pt>
                <c:pt idx="27">
                  <c:v>-21.600020000000001</c:v>
                </c:pt>
                <c:pt idx="28">
                  <c:v>-20.80002</c:v>
                </c:pt>
                <c:pt idx="29">
                  <c:v>-20.000019999999999</c:v>
                </c:pt>
                <c:pt idx="30">
                  <c:v>-19.200019999999999</c:v>
                </c:pt>
                <c:pt idx="31">
                  <c:v>-18.400020000000001</c:v>
                </c:pt>
                <c:pt idx="32">
                  <c:v>-17.600020000000001</c:v>
                </c:pt>
                <c:pt idx="33">
                  <c:v>-16.80002</c:v>
                </c:pt>
                <c:pt idx="34">
                  <c:v>-16.000019999999999</c:v>
                </c:pt>
                <c:pt idx="35">
                  <c:v>-15.20002</c:v>
                </c:pt>
                <c:pt idx="36">
                  <c:v>-14.400020000000001</c:v>
                </c:pt>
                <c:pt idx="37">
                  <c:v>-13.600020000000001</c:v>
                </c:pt>
                <c:pt idx="38">
                  <c:v>-12.80002</c:v>
                </c:pt>
                <c:pt idx="39">
                  <c:v>-12.000019999999999</c:v>
                </c:pt>
                <c:pt idx="40">
                  <c:v>-11.20002</c:v>
                </c:pt>
                <c:pt idx="41">
                  <c:v>-10.40002</c:v>
                </c:pt>
                <c:pt idx="42">
                  <c:v>-9.6000209999999999</c:v>
                </c:pt>
                <c:pt idx="43">
                  <c:v>-8.8000209999999992</c:v>
                </c:pt>
                <c:pt idx="44">
                  <c:v>-8.0000210000000003</c:v>
                </c:pt>
                <c:pt idx="45">
                  <c:v>-7.2000209999999996</c:v>
                </c:pt>
                <c:pt idx="46">
                  <c:v>-6.4000209999999997</c:v>
                </c:pt>
                <c:pt idx="47">
                  <c:v>-5.6000199999999998</c:v>
                </c:pt>
                <c:pt idx="48">
                  <c:v>-4.80002</c:v>
                </c:pt>
                <c:pt idx="49">
                  <c:v>-4.0000200000000001</c:v>
                </c:pt>
                <c:pt idx="50">
                  <c:v>-3.2000199999999999</c:v>
                </c:pt>
                <c:pt idx="51">
                  <c:v>-2.40002</c:v>
                </c:pt>
                <c:pt idx="52">
                  <c:v>-1.60002</c:v>
                </c:pt>
                <c:pt idx="53">
                  <c:v>-0.80002019999999996</c:v>
                </c:pt>
                <c:pt idx="54">
                  <c:v>-2.0146369999999999E-5</c:v>
                </c:pt>
                <c:pt idx="55">
                  <c:v>0.79997989999999997</c:v>
                </c:pt>
                <c:pt idx="56">
                  <c:v>1.59998</c:v>
                </c:pt>
                <c:pt idx="57">
                  <c:v>2.3999799999999998</c:v>
                </c:pt>
                <c:pt idx="58">
                  <c:v>3.19998</c:v>
                </c:pt>
                <c:pt idx="59">
                  <c:v>3.9999799999999999</c:v>
                </c:pt>
                <c:pt idx="60">
                  <c:v>4.7999799999999997</c:v>
                </c:pt>
                <c:pt idx="61">
                  <c:v>5.5999800000000004</c:v>
                </c:pt>
                <c:pt idx="62">
                  <c:v>6.3999800000000002</c:v>
                </c:pt>
                <c:pt idx="63">
                  <c:v>7.1999799999999992</c:v>
                </c:pt>
                <c:pt idx="64">
                  <c:v>7.999979999999999</c:v>
                </c:pt>
                <c:pt idx="65">
                  <c:v>8.7999799999999997</c:v>
                </c:pt>
                <c:pt idx="66">
                  <c:v>9.5999800000000004</c:v>
                </c:pt>
                <c:pt idx="67">
                  <c:v>10.399979999999999</c:v>
                </c:pt>
                <c:pt idx="68">
                  <c:v>11.19998</c:v>
                </c:pt>
                <c:pt idx="69">
                  <c:v>11.999980000000001</c:v>
                </c:pt>
                <c:pt idx="70">
                  <c:v>12.79998</c:v>
                </c:pt>
                <c:pt idx="71">
                  <c:v>13.599979999999999</c:v>
                </c:pt>
                <c:pt idx="72">
                  <c:v>14.399979999999999</c:v>
                </c:pt>
                <c:pt idx="73">
                  <c:v>15.19998</c:v>
                </c:pt>
                <c:pt idx="74">
                  <c:v>15.999979999999999</c:v>
                </c:pt>
                <c:pt idx="75">
                  <c:v>16.799980000000001</c:v>
                </c:pt>
                <c:pt idx="76">
                  <c:v>17.599979999999999</c:v>
                </c:pt>
                <c:pt idx="77">
                  <c:v>18.399979999999999</c:v>
                </c:pt>
                <c:pt idx="78">
                  <c:v>19.19998</c:v>
                </c:pt>
                <c:pt idx="79">
                  <c:v>19.999980000000001</c:v>
                </c:pt>
                <c:pt idx="80">
                  <c:v>20.799980000000001</c:v>
                </c:pt>
                <c:pt idx="81">
                  <c:v>21.599979999999999</c:v>
                </c:pt>
                <c:pt idx="82">
                  <c:v>22.399979999999999</c:v>
                </c:pt>
                <c:pt idx="83">
                  <c:v>23.19998</c:v>
                </c:pt>
                <c:pt idx="84">
                  <c:v>23.999980000000001</c:v>
                </c:pt>
                <c:pt idx="85">
                  <c:v>24.799969999999998</c:v>
                </c:pt>
                <c:pt idx="86">
                  <c:v>25.599969999999999</c:v>
                </c:pt>
                <c:pt idx="87">
                  <c:v>26.399970000000003</c:v>
                </c:pt>
                <c:pt idx="88">
                  <c:v>27.19997</c:v>
                </c:pt>
                <c:pt idx="89">
                  <c:v>27.999970000000001</c:v>
                </c:pt>
                <c:pt idx="90">
                  <c:v>28.799969999999995</c:v>
                </c:pt>
                <c:pt idx="91">
                  <c:v>29.599969999999995</c:v>
                </c:pt>
                <c:pt idx="92">
                  <c:v>30.399970000000003</c:v>
                </c:pt>
                <c:pt idx="93">
                  <c:v>31.19997</c:v>
                </c:pt>
                <c:pt idx="94">
                  <c:v>31.999970000000001</c:v>
                </c:pt>
                <c:pt idx="95">
                  <c:v>32.799970000000002</c:v>
                </c:pt>
                <c:pt idx="96">
                  <c:v>33.599969999999999</c:v>
                </c:pt>
                <c:pt idx="97">
                  <c:v>34.399970000000003</c:v>
                </c:pt>
                <c:pt idx="98">
                  <c:v>35.19997</c:v>
                </c:pt>
                <c:pt idx="99">
                  <c:v>35.999969999999998</c:v>
                </c:pt>
              </c:numCache>
            </c:numRef>
          </c:cat>
          <c:val>
            <c:numRef>
              <c:f>pitchMovement!$A$14:$CV$14</c:f>
              <c:numCache>
                <c:formatCode>General</c:formatCode>
                <c:ptCount val="100"/>
                <c:pt idx="0">
                  <c:v>202.0522</c:v>
                </c:pt>
                <c:pt idx="1">
                  <c:v>202.0522</c:v>
                </c:pt>
                <c:pt idx="2">
                  <c:v>202.0522</c:v>
                </c:pt>
                <c:pt idx="3">
                  <c:v>202.0522</c:v>
                </c:pt>
                <c:pt idx="4">
                  <c:v>202.0522</c:v>
                </c:pt>
                <c:pt idx="5">
                  <c:v>202.0522</c:v>
                </c:pt>
                <c:pt idx="6">
                  <c:v>202.85400000000001</c:v>
                </c:pt>
                <c:pt idx="7">
                  <c:v>203.64959999999999</c:v>
                </c:pt>
                <c:pt idx="8">
                  <c:v>204.43889999999999</c:v>
                </c:pt>
                <c:pt idx="9">
                  <c:v>205.2217</c:v>
                </c:pt>
                <c:pt idx="10">
                  <c:v>205.9982</c:v>
                </c:pt>
                <c:pt idx="11">
                  <c:v>206.76799999999997</c:v>
                </c:pt>
                <c:pt idx="12">
                  <c:v>207.53130000000002</c:v>
                </c:pt>
                <c:pt idx="13">
                  <c:v>208.2878</c:v>
                </c:pt>
                <c:pt idx="14">
                  <c:v>209.03760000000003</c:v>
                </c:pt>
                <c:pt idx="15">
                  <c:v>209.78059999999999</c:v>
                </c:pt>
                <c:pt idx="16">
                  <c:v>210.51660000000001</c:v>
                </c:pt>
                <c:pt idx="17">
                  <c:v>211.24560000000002</c:v>
                </c:pt>
                <c:pt idx="18">
                  <c:v>211.9676</c:v>
                </c:pt>
                <c:pt idx="19">
                  <c:v>212.68249999999998</c:v>
                </c:pt>
                <c:pt idx="20">
                  <c:v>213.39009999999999</c:v>
                </c:pt>
                <c:pt idx="21">
                  <c:v>214.09049999999996</c:v>
                </c:pt>
                <c:pt idx="22">
                  <c:v>214.78360000000004</c:v>
                </c:pt>
                <c:pt idx="23">
                  <c:v>215.46930000000003</c:v>
                </c:pt>
                <c:pt idx="24">
                  <c:v>216.14760000000001</c:v>
                </c:pt>
                <c:pt idx="25">
                  <c:v>216.81829999999999</c:v>
                </c:pt>
                <c:pt idx="26">
                  <c:v>217.48150000000001</c:v>
                </c:pt>
                <c:pt idx="27">
                  <c:v>218.137</c:v>
                </c:pt>
                <c:pt idx="28">
                  <c:v>218.78490000000002</c:v>
                </c:pt>
                <c:pt idx="29">
                  <c:v>219.42500000000001</c:v>
                </c:pt>
                <c:pt idx="30">
                  <c:v>220.0573</c:v>
                </c:pt>
                <c:pt idx="31">
                  <c:v>220.68180000000001</c:v>
                </c:pt>
                <c:pt idx="32">
                  <c:v>221.29830000000001</c:v>
                </c:pt>
                <c:pt idx="33">
                  <c:v>221.90680000000003</c:v>
                </c:pt>
                <c:pt idx="34">
                  <c:v>222.50740000000002</c:v>
                </c:pt>
                <c:pt idx="35">
                  <c:v>223.09989999999999</c:v>
                </c:pt>
                <c:pt idx="36">
                  <c:v>223.6842</c:v>
                </c:pt>
                <c:pt idx="37">
                  <c:v>224.26040000000003</c:v>
                </c:pt>
                <c:pt idx="38">
                  <c:v>224.82830000000004</c:v>
                </c:pt>
                <c:pt idx="39">
                  <c:v>225.38800000000001</c:v>
                </c:pt>
                <c:pt idx="40">
                  <c:v>225.93940000000003</c:v>
                </c:pt>
                <c:pt idx="41">
                  <c:v>226.48240000000001</c:v>
                </c:pt>
                <c:pt idx="42">
                  <c:v>227.017</c:v>
                </c:pt>
                <c:pt idx="43">
                  <c:v>227.54310000000001</c:v>
                </c:pt>
                <c:pt idx="44">
                  <c:v>228.06080000000003</c:v>
                </c:pt>
                <c:pt idx="45">
                  <c:v>228.56990000000002</c:v>
                </c:pt>
                <c:pt idx="46">
                  <c:v>229.07040000000001</c:v>
                </c:pt>
                <c:pt idx="47">
                  <c:v>229.56229999999999</c:v>
                </c:pt>
                <c:pt idx="48">
                  <c:v>230.0455</c:v>
                </c:pt>
                <c:pt idx="49">
                  <c:v>230.52000000000004</c:v>
                </c:pt>
                <c:pt idx="50">
                  <c:v>230.98580000000001</c:v>
                </c:pt>
                <c:pt idx="51">
                  <c:v>231.44279999999998</c:v>
                </c:pt>
                <c:pt idx="52">
                  <c:v>231.89099999999999</c:v>
                </c:pt>
                <c:pt idx="53">
                  <c:v>232.3304</c:v>
                </c:pt>
                <c:pt idx="54">
                  <c:v>232.76079999999996</c:v>
                </c:pt>
                <c:pt idx="55">
                  <c:v>233.1823</c:v>
                </c:pt>
                <c:pt idx="56">
                  <c:v>233.5949</c:v>
                </c:pt>
                <c:pt idx="57">
                  <c:v>233.99850000000001</c:v>
                </c:pt>
                <c:pt idx="58">
                  <c:v>234.39299999999997</c:v>
                </c:pt>
                <c:pt idx="59">
                  <c:v>234.77849999999998</c:v>
                </c:pt>
                <c:pt idx="60">
                  <c:v>235.15500000000003</c:v>
                </c:pt>
                <c:pt idx="61">
                  <c:v>235.5223</c:v>
                </c:pt>
                <c:pt idx="62">
                  <c:v>235.88050000000004</c:v>
                </c:pt>
                <c:pt idx="63">
                  <c:v>236.2295</c:v>
                </c:pt>
                <c:pt idx="64">
                  <c:v>236.56930000000003</c:v>
                </c:pt>
                <c:pt idx="65">
                  <c:v>236.89989999999997</c:v>
                </c:pt>
                <c:pt idx="66">
                  <c:v>237.22120000000001</c:v>
                </c:pt>
                <c:pt idx="67">
                  <c:v>237.53319999999999</c:v>
                </c:pt>
                <c:pt idx="68">
                  <c:v>237.83600000000001</c:v>
                </c:pt>
                <c:pt idx="69">
                  <c:v>238.12950000000001</c:v>
                </c:pt>
                <c:pt idx="70">
                  <c:v>238.4136</c:v>
                </c:pt>
                <c:pt idx="71">
                  <c:v>238.68829999999997</c:v>
                </c:pt>
                <c:pt idx="72">
                  <c:v>238.95359999999999</c:v>
                </c:pt>
                <c:pt idx="73">
                  <c:v>239.20959999999999</c:v>
                </c:pt>
                <c:pt idx="74">
                  <c:v>239.45609999999996</c:v>
                </c:pt>
                <c:pt idx="75">
                  <c:v>239.69310000000002</c:v>
                </c:pt>
                <c:pt idx="76">
                  <c:v>239.92070000000004</c:v>
                </c:pt>
                <c:pt idx="77">
                  <c:v>240.13890000000001</c:v>
                </c:pt>
                <c:pt idx="78">
                  <c:v>240.3475</c:v>
                </c:pt>
                <c:pt idx="79">
                  <c:v>240.54660000000004</c:v>
                </c:pt>
                <c:pt idx="80">
                  <c:v>240.7362</c:v>
                </c:pt>
                <c:pt idx="81">
                  <c:v>240.91620000000003</c:v>
                </c:pt>
                <c:pt idx="82">
                  <c:v>241.08670000000001</c:v>
                </c:pt>
                <c:pt idx="83">
                  <c:v>241.24760000000001</c:v>
                </c:pt>
                <c:pt idx="84">
                  <c:v>241.3989</c:v>
                </c:pt>
                <c:pt idx="85">
                  <c:v>241.54059999999998</c:v>
                </c:pt>
                <c:pt idx="86">
                  <c:v>241.67269999999999</c:v>
                </c:pt>
                <c:pt idx="87">
                  <c:v>241.79519999999997</c:v>
                </c:pt>
                <c:pt idx="88">
                  <c:v>241.90810000000002</c:v>
                </c:pt>
                <c:pt idx="89">
                  <c:v>242.01140000000001</c:v>
                </c:pt>
                <c:pt idx="90">
                  <c:v>242.10499999999996</c:v>
                </c:pt>
                <c:pt idx="91">
                  <c:v>242.18890000000002</c:v>
                </c:pt>
                <c:pt idx="92">
                  <c:v>242.26329999999999</c:v>
                </c:pt>
                <c:pt idx="93">
                  <c:v>242.3279</c:v>
                </c:pt>
                <c:pt idx="94">
                  <c:v>242.38290000000001</c:v>
                </c:pt>
                <c:pt idx="95">
                  <c:v>242.4282</c:v>
                </c:pt>
                <c:pt idx="96">
                  <c:v>242.46390000000002</c:v>
                </c:pt>
                <c:pt idx="97">
                  <c:v>242.4898</c:v>
                </c:pt>
                <c:pt idx="98">
                  <c:v>242.5061</c:v>
                </c:pt>
                <c:pt idx="99">
                  <c:v>242.5127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C6-4E99-BD14-ABFDC0980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032751"/>
        <c:axId val="790548159"/>
      </c:lineChart>
      <c:catAx>
        <c:axId val="78703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Angle</a:t>
                </a:r>
                <a:r>
                  <a:rPr lang="fr-FR" baseline="0"/>
                  <a:t> for pitch (°)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548159"/>
        <c:crosses val="autoZero"/>
        <c:auto val="1"/>
        <c:lblAlgn val="ctr"/>
        <c:lblOffset val="100"/>
        <c:noMultiLvlLbl val="0"/>
      </c:catAx>
      <c:valAx>
        <c:axId val="7905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CableLength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03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Height comparison between setpoint and measured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Measured height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'pichMovement (3)'!$15:$15</c:f>
              <c:numCache>
                <c:formatCode>General</c:formatCode>
                <c:ptCount val="16384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</c:numCache>
            </c:numRef>
          </c:cat>
          <c:val>
            <c:numRef>
              <c:f>'pichMovement (3)'!$A$8:$CV$8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1.9538999999999618</c:v>
                </c:pt>
                <c:pt idx="7">
                  <c:v>3.9051999999999509</c:v>
                </c:pt>
                <c:pt idx="8">
                  <c:v>5.8558999999999628</c:v>
                </c:pt>
                <c:pt idx="9">
                  <c:v>7.8061999999999898</c:v>
                </c:pt>
                <c:pt idx="10">
                  <c:v>9.7558999999999685</c:v>
                </c:pt>
                <c:pt idx="11">
                  <c:v>11.70499999999997</c:v>
                </c:pt>
                <c:pt idx="12">
                  <c:v>13.653599999999955</c:v>
                </c:pt>
                <c:pt idx="13">
                  <c:v>15.601599999999962</c:v>
                </c:pt>
                <c:pt idx="14">
                  <c:v>17.548999999999992</c:v>
                </c:pt>
                <c:pt idx="15">
                  <c:v>19.495900000000006</c:v>
                </c:pt>
                <c:pt idx="16">
                  <c:v>21.442100000000011</c:v>
                </c:pt>
                <c:pt idx="17">
                  <c:v>23.387799999999999</c:v>
                </c:pt>
                <c:pt idx="18">
                  <c:v>25.332799999999978</c:v>
                </c:pt>
                <c:pt idx="19">
                  <c:v>27.277199999999979</c:v>
                </c:pt>
                <c:pt idx="20">
                  <c:v>29.221000000000004</c:v>
                </c:pt>
                <c:pt idx="21">
                  <c:v>31.164099999999948</c:v>
                </c:pt>
                <c:pt idx="22">
                  <c:v>33.106599999999986</c:v>
                </c:pt>
                <c:pt idx="23">
                  <c:v>35.048399999999944</c:v>
                </c:pt>
                <c:pt idx="24">
                  <c:v>36.989499999999964</c:v>
                </c:pt>
                <c:pt idx="25">
                  <c:v>38.930000000000007</c:v>
                </c:pt>
                <c:pt idx="26">
                  <c:v>40.869700000000009</c:v>
                </c:pt>
                <c:pt idx="27">
                  <c:v>42.808700000000002</c:v>
                </c:pt>
                <c:pt idx="28">
                  <c:v>44.746999999999986</c:v>
                </c:pt>
                <c:pt idx="29">
                  <c:v>46.684599999999961</c:v>
                </c:pt>
                <c:pt idx="30">
                  <c:v>48.621300000000005</c:v>
                </c:pt>
                <c:pt idx="31">
                  <c:v>50.557400000000001</c:v>
                </c:pt>
                <c:pt idx="32">
                  <c:v>52.492599999999996</c:v>
                </c:pt>
                <c:pt idx="33">
                  <c:v>54.426999999999985</c:v>
                </c:pt>
                <c:pt idx="34">
                  <c:v>56.36059999999997</c:v>
                </c:pt>
                <c:pt idx="35">
                  <c:v>58.293399999999984</c:v>
                </c:pt>
                <c:pt idx="36">
                  <c:v>60.225399999999993</c:v>
                </c:pt>
                <c:pt idx="37">
                  <c:v>62.156499999999966</c:v>
                </c:pt>
                <c:pt idx="38">
                  <c:v>64.086699999999979</c:v>
                </c:pt>
                <c:pt idx="39">
                  <c:v>66.015999999999977</c:v>
                </c:pt>
                <c:pt idx="40">
                  <c:v>67.944499999999977</c:v>
                </c:pt>
                <c:pt idx="41">
                  <c:v>69.871899999999982</c:v>
                </c:pt>
                <c:pt idx="42">
                  <c:v>71.79849999999999</c:v>
                </c:pt>
                <c:pt idx="43">
                  <c:v>73.724099999999993</c:v>
                </c:pt>
                <c:pt idx="44">
                  <c:v>75.648699999999991</c:v>
                </c:pt>
                <c:pt idx="45">
                  <c:v>77.572399999999988</c:v>
                </c:pt>
                <c:pt idx="46">
                  <c:v>79.494999999999976</c:v>
                </c:pt>
                <c:pt idx="47">
                  <c:v>81.416599999999988</c:v>
                </c:pt>
                <c:pt idx="48">
                  <c:v>83.337099999999964</c:v>
                </c:pt>
                <c:pt idx="49">
                  <c:v>85.256499999999988</c:v>
                </c:pt>
                <c:pt idx="50">
                  <c:v>87.17489999999998</c:v>
                </c:pt>
                <c:pt idx="51">
                  <c:v>89.092099999999988</c:v>
                </c:pt>
                <c:pt idx="52">
                  <c:v>91.008099999999985</c:v>
                </c:pt>
                <c:pt idx="53">
                  <c:v>92.922999999999973</c:v>
                </c:pt>
                <c:pt idx="54">
                  <c:v>94.836699999999965</c:v>
                </c:pt>
                <c:pt idx="55">
                  <c:v>96.749199999999973</c:v>
                </c:pt>
                <c:pt idx="56">
                  <c:v>98.660499999999985</c:v>
                </c:pt>
                <c:pt idx="57">
                  <c:v>100.57049999999997</c:v>
                </c:pt>
                <c:pt idx="58">
                  <c:v>102.47909999999997</c:v>
                </c:pt>
                <c:pt idx="59">
                  <c:v>104.38649999999998</c:v>
                </c:pt>
                <c:pt idx="60">
                  <c:v>106.29249999999999</c:v>
                </c:pt>
                <c:pt idx="61">
                  <c:v>108.19709999999998</c:v>
                </c:pt>
                <c:pt idx="62">
                  <c:v>110.10039999999996</c:v>
                </c:pt>
                <c:pt idx="63">
                  <c:v>112.00219999999999</c:v>
                </c:pt>
                <c:pt idx="64">
                  <c:v>113.90249999999997</c:v>
                </c:pt>
                <c:pt idx="65">
                  <c:v>115.80129999999997</c:v>
                </c:pt>
                <c:pt idx="66">
                  <c:v>117.69849999999998</c:v>
                </c:pt>
                <c:pt idx="67">
                  <c:v>119.59419999999997</c:v>
                </c:pt>
                <c:pt idx="68">
                  <c:v>121.48839999999996</c:v>
                </c:pt>
                <c:pt idx="69">
                  <c:v>123.38079999999998</c:v>
                </c:pt>
                <c:pt idx="70">
                  <c:v>125.27149999999999</c:v>
                </c:pt>
                <c:pt idx="71">
                  <c:v>127.16059999999999</c:v>
                </c:pt>
                <c:pt idx="72">
                  <c:v>129.04789999999997</c:v>
                </c:pt>
                <c:pt idx="73">
                  <c:v>130.93339999999998</c:v>
                </c:pt>
                <c:pt idx="74">
                  <c:v>132.81699999999998</c:v>
                </c:pt>
                <c:pt idx="75">
                  <c:v>134.69879999999995</c:v>
                </c:pt>
                <c:pt idx="76">
                  <c:v>136.57859999999999</c:v>
                </c:pt>
                <c:pt idx="77">
                  <c:v>138.4564</c:v>
                </c:pt>
                <c:pt idx="78">
                  <c:v>140.33229999999998</c:v>
                </c:pt>
                <c:pt idx="79">
                  <c:v>142.20599999999996</c:v>
                </c:pt>
                <c:pt idx="80">
                  <c:v>144.07769999999999</c:v>
                </c:pt>
                <c:pt idx="81">
                  <c:v>145.94709999999998</c:v>
                </c:pt>
                <c:pt idx="82">
                  <c:v>147.81429999999997</c:v>
                </c:pt>
                <c:pt idx="83">
                  <c:v>149.67929999999998</c:v>
                </c:pt>
                <c:pt idx="84">
                  <c:v>151.54189999999997</c:v>
                </c:pt>
                <c:pt idx="85">
                  <c:v>153.40209999999999</c:v>
                </c:pt>
                <c:pt idx="86">
                  <c:v>155.25979999999998</c:v>
                </c:pt>
                <c:pt idx="87">
                  <c:v>157.11499999999998</c:v>
                </c:pt>
                <c:pt idx="88">
                  <c:v>158.96759999999998</c:v>
                </c:pt>
                <c:pt idx="89">
                  <c:v>160.8176</c:v>
                </c:pt>
                <c:pt idx="90">
                  <c:v>162.66479999999999</c:v>
                </c:pt>
                <c:pt idx="91">
                  <c:v>164.50919999999996</c:v>
                </c:pt>
                <c:pt idx="92">
                  <c:v>166.35069999999999</c:v>
                </c:pt>
                <c:pt idx="93">
                  <c:v>168.18929999999997</c:v>
                </c:pt>
                <c:pt idx="94">
                  <c:v>170.02489999999997</c:v>
                </c:pt>
                <c:pt idx="95">
                  <c:v>171.85739999999998</c:v>
                </c:pt>
                <c:pt idx="96">
                  <c:v>173.6866</c:v>
                </c:pt>
                <c:pt idx="97">
                  <c:v>175.51259999999999</c:v>
                </c:pt>
                <c:pt idx="98">
                  <c:v>177.33519999999999</c:v>
                </c:pt>
                <c:pt idx="99">
                  <c:v>179.15429999999998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4-45CF-A363-3975184698FA}"/>
            </c:ext>
          </c:extLst>
        </c:ser>
        <c:ser>
          <c:idx val="1"/>
          <c:order val="1"/>
          <c:tx>
            <c:v>Setpoint height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'pichMovement (3)'!$15:$15</c:f>
              <c:numCache>
                <c:formatCode>General</c:formatCode>
                <c:ptCount val="16384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9.0999999999999837</c:v>
                </c:pt>
                <c:pt idx="91">
                  <c:v>9.1999999999999833</c:v>
                </c:pt>
                <c:pt idx="92">
                  <c:v>9.2999999999999829</c:v>
                </c:pt>
                <c:pt idx="93">
                  <c:v>9.3999999999999826</c:v>
                </c:pt>
                <c:pt idx="94">
                  <c:v>9.4999999999999822</c:v>
                </c:pt>
                <c:pt idx="95">
                  <c:v>9.5999999999999819</c:v>
                </c:pt>
                <c:pt idx="96">
                  <c:v>9.6999999999999815</c:v>
                </c:pt>
                <c:pt idx="97">
                  <c:v>9.7999999999999812</c:v>
                </c:pt>
                <c:pt idx="98">
                  <c:v>9.8999999999999808</c:v>
                </c:pt>
                <c:pt idx="99">
                  <c:v>9.9999999999999805</c:v>
                </c:pt>
              </c:numCache>
            </c:numRef>
          </c:cat>
          <c:val>
            <c:numRef>
              <c:f>'pichMovement (3)'!$A$9:$CV$9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22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36</c:v>
                </c:pt>
                <c:pt idx="23">
                  <c:v>38</c:v>
                </c:pt>
                <c:pt idx="24">
                  <c:v>40</c:v>
                </c:pt>
                <c:pt idx="25">
                  <c:v>42</c:v>
                </c:pt>
                <c:pt idx="26">
                  <c:v>44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54</c:v>
                </c:pt>
                <c:pt idx="32">
                  <c:v>56</c:v>
                </c:pt>
                <c:pt idx="33">
                  <c:v>58</c:v>
                </c:pt>
                <c:pt idx="34">
                  <c:v>60</c:v>
                </c:pt>
                <c:pt idx="35">
                  <c:v>62</c:v>
                </c:pt>
                <c:pt idx="36">
                  <c:v>64</c:v>
                </c:pt>
                <c:pt idx="37">
                  <c:v>66</c:v>
                </c:pt>
                <c:pt idx="38">
                  <c:v>68</c:v>
                </c:pt>
                <c:pt idx="39">
                  <c:v>70</c:v>
                </c:pt>
                <c:pt idx="40">
                  <c:v>72</c:v>
                </c:pt>
                <c:pt idx="41">
                  <c:v>74</c:v>
                </c:pt>
                <c:pt idx="42">
                  <c:v>76</c:v>
                </c:pt>
                <c:pt idx="43">
                  <c:v>78</c:v>
                </c:pt>
                <c:pt idx="44">
                  <c:v>80</c:v>
                </c:pt>
                <c:pt idx="45">
                  <c:v>82</c:v>
                </c:pt>
                <c:pt idx="46">
                  <c:v>84</c:v>
                </c:pt>
                <c:pt idx="47">
                  <c:v>86</c:v>
                </c:pt>
                <c:pt idx="48">
                  <c:v>88</c:v>
                </c:pt>
                <c:pt idx="49">
                  <c:v>90</c:v>
                </c:pt>
                <c:pt idx="50">
                  <c:v>92</c:v>
                </c:pt>
                <c:pt idx="51">
                  <c:v>94</c:v>
                </c:pt>
                <c:pt idx="52">
                  <c:v>96</c:v>
                </c:pt>
                <c:pt idx="53">
                  <c:v>98</c:v>
                </c:pt>
                <c:pt idx="54">
                  <c:v>100</c:v>
                </c:pt>
                <c:pt idx="55">
                  <c:v>102</c:v>
                </c:pt>
                <c:pt idx="56">
                  <c:v>104</c:v>
                </c:pt>
                <c:pt idx="57">
                  <c:v>106</c:v>
                </c:pt>
                <c:pt idx="58">
                  <c:v>108</c:v>
                </c:pt>
                <c:pt idx="59">
                  <c:v>110</c:v>
                </c:pt>
                <c:pt idx="60">
                  <c:v>112</c:v>
                </c:pt>
                <c:pt idx="61">
                  <c:v>114</c:v>
                </c:pt>
                <c:pt idx="62">
                  <c:v>116</c:v>
                </c:pt>
                <c:pt idx="63">
                  <c:v>118</c:v>
                </c:pt>
                <c:pt idx="64">
                  <c:v>120</c:v>
                </c:pt>
                <c:pt idx="65">
                  <c:v>122</c:v>
                </c:pt>
                <c:pt idx="66">
                  <c:v>124</c:v>
                </c:pt>
                <c:pt idx="67">
                  <c:v>126</c:v>
                </c:pt>
                <c:pt idx="68">
                  <c:v>128</c:v>
                </c:pt>
                <c:pt idx="69">
                  <c:v>130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144</c:v>
                </c:pt>
                <c:pt idx="77">
                  <c:v>146</c:v>
                </c:pt>
                <c:pt idx="78">
                  <c:v>148</c:v>
                </c:pt>
                <c:pt idx="79">
                  <c:v>150</c:v>
                </c:pt>
                <c:pt idx="80">
                  <c:v>152</c:v>
                </c:pt>
                <c:pt idx="81">
                  <c:v>154</c:v>
                </c:pt>
                <c:pt idx="82">
                  <c:v>156</c:v>
                </c:pt>
                <c:pt idx="83">
                  <c:v>158</c:v>
                </c:pt>
                <c:pt idx="84">
                  <c:v>160</c:v>
                </c:pt>
                <c:pt idx="85">
                  <c:v>162</c:v>
                </c:pt>
                <c:pt idx="86">
                  <c:v>164</c:v>
                </c:pt>
                <c:pt idx="87">
                  <c:v>166</c:v>
                </c:pt>
                <c:pt idx="88">
                  <c:v>168</c:v>
                </c:pt>
                <c:pt idx="89">
                  <c:v>170</c:v>
                </c:pt>
                <c:pt idx="90">
                  <c:v>172</c:v>
                </c:pt>
                <c:pt idx="91">
                  <c:v>174</c:v>
                </c:pt>
                <c:pt idx="92">
                  <c:v>176</c:v>
                </c:pt>
                <c:pt idx="93">
                  <c:v>178</c:v>
                </c:pt>
                <c:pt idx="94">
                  <c:v>180</c:v>
                </c:pt>
                <c:pt idx="95">
                  <c:v>182</c:v>
                </c:pt>
                <c:pt idx="96">
                  <c:v>184</c:v>
                </c:pt>
                <c:pt idx="97">
                  <c:v>186</c:v>
                </c:pt>
                <c:pt idx="98">
                  <c:v>188</c:v>
                </c:pt>
                <c:pt idx="99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4-45CF-A363-397518469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02960"/>
        <c:axId val="132396720"/>
      </c:lineChart>
      <c:catAx>
        <c:axId val="13240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duration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396720"/>
        <c:crosses val="autoZero"/>
        <c:auto val="1"/>
        <c:lblAlgn val="ctr"/>
        <c:lblOffset val="100"/>
        <c:noMultiLvlLbl val="0"/>
      </c:catAx>
      <c:valAx>
        <c:axId val="1323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4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Cable length for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Cable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'pichMovement (3)'!$9:$9</c:f>
              <c:numCache>
                <c:formatCode>General</c:formatCode>
                <c:ptCount val="16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22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36</c:v>
                </c:pt>
                <c:pt idx="23">
                  <c:v>38</c:v>
                </c:pt>
                <c:pt idx="24">
                  <c:v>40</c:v>
                </c:pt>
                <c:pt idx="25">
                  <c:v>42</c:v>
                </c:pt>
                <c:pt idx="26">
                  <c:v>44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54</c:v>
                </c:pt>
                <c:pt idx="32">
                  <c:v>56</c:v>
                </c:pt>
                <c:pt idx="33">
                  <c:v>58</c:v>
                </c:pt>
                <c:pt idx="34">
                  <c:v>60</c:v>
                </c:pt>
                <c:pt idx="35">
                  <c:v>62</c:v>
                </c:pt>
                <c:pt idx="36">
                  <c:v>64</c:v>
                </c:pt>
                <c:pt idx="37">
                  <c:v>66</c:v>
                </c:pt>
                <c:pt idx="38">
                  <c:v>68</c:v>
                </c:pt>
                <c:pt idx="39">
                  <c:v>70</c:v>
                </c:pt>
                <c:pt idx="40">
                  <c:v>72</c:v>
                </c:pt>
                <c:pt idx="41">
                  <c:v>74</c:v>
                </c:pt>
                <c:pt idx="42">
                  <c:v>76</c:v>
                </c:pt>
                <c:pt idx="43">
                  <c:v>78</c:v>
                </c:pt>
                <c:pt idx="44">
                  <c:v>80</c:v>
                </c:pt>
                <c:pt idx="45">
                  <c:v>82</c:v>
                </c:pt>
                <c:pt idx="46">
                  <c:v>84</c:v>
                </c:pt>
                <c:pt idx="47">
                  <c:v>86</c:v>
                </c:pt>
                <c:pt idx="48">
                  <c:v>88</c:v>
                </c:pt>
                <c:pt idx="49">
                  <c:v>90</c:v>
                </c:pt>
                <c:pt idx="50">
                  <c:v>92</c:v>
                </c:pt>
                <c:pt idx="51">
                  <c:v>94</c:v>
                </c:pt>
                <c:pt idx="52">
                  <c:v>96</c:v>
                </c:pt>
                <c:pt idx="53">
                  <c:v>98</c:v>
                </c:pt>
                <c:pt idx="54">
                  <c:v>100</c:v>
                </c:pt>
                <c:pt idx="55">
                  <c:v>102</c:v>
                </c:pt>
                <c:pt idx="56">
                  <c:v>104</c:v>
                </c:pt>
                <c:pt idx="57">
                  <c:v>106</c:v>
                </c:pt>
                <c:pt idx="58">
                  <c:v>108</c:v>
                </c:pt>
                <c:pt idx="59">
                  <c:v>110</c:v>
                </c:pt>
                <c:pt idx="60">
                  <c:v>112</c:v>
                </c:pt>
                <c:pt idx="61">
                  <c:v>114</c:v>
                </c:pt>
                <c:pt idx="62">
                  <c:v>116</c:v>
                </c:pt>
                <c:pt idx="63">
                  <c:v>118</c:v>
                </c:pt>
                <c:pt idx="64">
                  <c:v>120</c:v>
                </c:pt>
                <c:pt idx="65">
                  <c:v>122</c:v>
                </c:pt>
                <c:pt idx="66">
                  <c:v>124</c:v>
                </c:pt>
                <c:pt idx="67">
                  <c:v>126</c:v>
                </c:pt>
                <c:pt idx="68">
                  <c:v>128</c:v>
                </c:pt>
                <c:pt idx="69">
                  <c:v>130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144</c:v>
                </c:pt>
                <c:pt idx="77">
                  <c:v>146</c:v>
                </c:pt>
                <c:pt idx="78">
                  <c:v>148</c:v>
                </c:pt>
                <c:pt idx="79">
                  <c:v>150</c:v>
                </c:pt>
                <c:pt idx="80">
                  <c:v>152</c:v>
                </c:pt>
                <c:pt idx="81">
                  <c:v>154</c:v>
                </c:pt>
                <c:pt idx="82">
                  <c:v>156</c:v>
                </c:pt>
                <c:pt idx="83">
                  <c:v>158</c:v>
                </c:pt>
                <c:pt idx="84">
                  <c:v>160</c:v>
                </c:pt>
                <c:pt idx="85">
                  <c:v>162</c:v>
                </c:pt>
                <c:pt idx="86">
                  <c:v>164</c:v>
                </c:pt>
                <c:pt idx="87">
                  <c:v>166</c:v>
                </c:pt>
                <c:pt idx="88">
                  <c:v>168</c:v>
                </c:pt>
                <c:pt idx="89">
                  <c:v>170</c:v>
                </c:pt>
                <c:pt idx="90">
                  <c:v>172</c:v>
                </c:pt>
                <c:pt idx="91">
                  <c:v>174</c:v>
                </c:pt>
                <c:pt idx="92">
                  <c:v>176</c:v>
                </c:pt>
                <c:pt idx="93">
                  <c:v>178</c:v>
                </c:pt>
                <c:pt idx="94">
                  <c:v>180</c:v>
                </c:pt>
                <c:pt idx="95">
                  <c:v>182</c:v>
                </c:pt>
                <c:pt idx="96">
                  <c:v>184</c:v>
                </c:pt>
                <c:pt idx="97">
                  <c:v>186</c:v>
                </c:pt>
                <c:pt idx="98">
                  <c:v>188</c:v>
                </c:pt>
                <c:pt idx="99">
                  <c:v>190</c:v>
                </c:pt>
              </c:numCache>
            </c:numRef>
          </c:cat>
          <c:val>
            <c:numRef>
              <c:f>'pichMovement (3)'!$D$11:$CV$11</c:f>
              <c:numCache>
                <c:formatCode>General</c:formatCode>
                <c:ptCount val="97"/>
                <c:pt idx="0">
                  <c:v>375.9973</c:v>
                </c:pt>
                <c:pt idx="1">
                  <c:v>375.9973</c:v>
                </c:pt>
                <c:pt idx="2">
                  <c:v>375.9973</c:v>
                </c:pt>
                <c:pt idx="3">
                  <c:v>374.05619999999999</c:v>
                </c:pt>
                <c:pt idx="4">
                  <c:v>372.11559999999997</c:v>
                </c:pt>
                <c:pt idx="5">
                  <c:v>370.17559999999997</c:v>
                </c:pt>
                <c:pt idx="6">
                  <c:v>368.23630000000003</c:v>
                </c:pt>
                <c:pt idx="7">
                  <c:v>366.29770000000002</c:v>
                </c:pt>
                <c:pt idx="8">
                  <c:v>364.35969999999998</c:v>
                </c:pt>
                <c:pt idx="9">
                  <c:v>362.42239999999998</c:v>
                </c:pt>
                <c:pt idx="10">
                  <c:v>360.48579999999998</c:v>
                </c:pt>
                <c:pt idx="11">
                  <c:v>358.54989999999998</c:v>
                </c:pt>
                <c:pt idx="12">
                  <c:v>356.6146</c:v>
                </c:pt>
                <c:pt idx="13">
                  <c:v>354.68009999999998</c:v>
                </c:pt>
                <c:pt idx="14">
                  <c:v>352.74639999999999</c:v>
                </c:pt>
                <c:pt idx="15">
                  <c:v>350.8134</c:v>
                </c:pt>
                <c:pt idx="16">
                  <c:v>348.8811</c:v>
                </c:pt>
                <c:pt idx="17">
                  <c:v>346.94959999999998</c:v>
                </c:pt>
                <c:pt idx="18">
                  <c:v>345.0188</c:v>
                </c:pt>
                <c:pt idx="19">
                  <c:v>343.08890000000002</c:v>
                </c:pt>
                <c:pt idx="20">
                  <c:v>341.15980000000002</c:v>
                </c:pt>
                <c:pt idx="21">
                  <c:v>339.23149999999998</c:v>
                </c:pt>
                <c:pt idx="22">
                  <c:v>337.30399999999997</c:v>
                </c:pt>
                <c:pt idx="23">
                  <c:v>335.37740000000002</c:v>
                </c:pt>
                <c:pt idx="24">
                  <c:v>333.45170000000002</c:v>
                </c:pt>
                <c:pt idx="25">
                  <c:v>331.52679999999998</c:v>
                </c:pt>
                <c:pt idx="26">
                  <c:v>329.6028</c:v>
                </c:pt>
                <c:pt idx="27">
                  <c:v>327.67970000000003</c:v>
                </c:pt>
                <c:pt idx="28">
                  <c:v>325.75760000000002</c:v>
                </c:pt>
                <c:pt idx="29">
                  <c:v>323.83640000000003</c:v>
                </c:pt>
                <c:pt idx="30">
                  <c:v>321.91609999999997</c:v>
                </c:pt>
                <c:pt idx="31">
                  <c:v>319.99689999999998</c:v>
                </c:pt>
                <c:pt idx="32">
                  <c:v>318.07859999999999</c:v>
                </c:pt>
                <c:pt idx="33">
                  <c:v>316.16129999999998</c:v>
                </c:pt>
                <c:pt idx="34">
                  <c:v>314.24509999999998</c:v>
                </c:pt>
                <c:pt idx="35">
                  <c:v>312.33</c:v>
                </c:pt>
                <c:pt idx="36">
                  <c:v>310.41590000000002</c:v>
                </c:pt>
                <c:pt idx="37">
                  <c:v>308.50279999999998</c:v>
                </c:pt>
                <c:pt idx="38">
                  <c:v>306.59089999999998</c:v>
                </c:pt>
                <c:pt idx="39">
                  <c:v>304.68009999999998</c:v>
                </c:pt>
                <c:pt idx="40">
                  <c:v>302.77050000000003</c:v>
                </c:pt>
                <c:pt idx="41">
                  <c:v>300.8621</c:v>
                </c:pt>
                <c:pt idx="42">
                  <c:v>298.95479999999998</c:v>
                </c:pt>
                <c:pt idx="43">
                  <c:v>297.04880000000003</c:v>
                </c:pt>
                <c:pt idx="44">
                  <c:v>295.14400000000001</c:v>
                </c:pt>
                <c:pt idx="45">
                  <c:v>293.2405</c:v>
                </c:pt>
                <c:pt idx="46">
                  <c:v>291.3383</c:v>
                </c:pt>
                <c:pt idx="47">
                  <c:v>289.43740000000003</c:v>
                </c:pt>
                <c:pt idx="48">
                  <c:v>287.5378</c:v>
                </c:pt>
                <c:pt idx="49">
                  <c:v>285.63959999999997</c:v>
                </c:pt>
                <c:pt idx="50">
                  <c:v>283.74279999999999</c:v>
                </c:pt>
                <c:pt idx="51">
                  <c:v>281.84750000000003</c:v>
                </c:pt>
                <c:pt idx="52">
                  <c:v>279.95359999999999</c:v>
                </c:pt>
                <c:pt idx="53">
                  <c:v>278.06119999999999</c:v>
                </c:pt>
                <c:pt idx="54">
                  <c:v>276.17020000000002</c:v>
                </c:pt>
                <c:pt idx="55">
                  <c:v>274.28089999999997</c:v>
                </c:pt>
                <c:pt idx="56">
                  <c:v>272.3931</c:v>
                </c:pt>
                <c:pt idx="57">
                  <c:v>270.50689999999997</c:v>
                </c:pt>
                <c:pt idx="58">
                  <c:v>268.62240000000003</c:v>
                </c:pt>
                <c:pt idx="59">
                  <c:v>266.7396</c:v>
                </c:pt>
                <c:pt idx="60">
                  <c:v>264.85849999999999</c:v>
                </c:pt>
                <c:pt idx="61">
                  <c:v>262.97910000000002</c:v>
                </c:pt>
                <c:pt idx="62">
                  <c:v>261.10149999999999</c:v>
                </c:pt>
                <c:pt idx="63">
                  <c:v>259.22579999999999</c:v>
                </c:pt>
                <c:pt idx="64">
                  <c:v>257.3519</c:v>
                </c:pt>
                <c:pt idx="65">
                  <c:v>255.47989999999999</c:v>
                </c:pt>
                <c:pt idx="66">
                  <c:v>253.60990000000001</c:v>
                </c:pt>
                <c:pt idx="67">
                  <c:v>251.74189999999999</c:v>
                </c:pt>
                <c:pt idx="68">
                  <c:v>249.876</c:v>
                </c:pt>
                <c:pt idx="69">
                  <c:v>248.0121</c:v>
                </c:pt>
                <c:pt idx="70">
                  <c:v>246.15039999999999</c:v>
                </c:pt>
                <c:pt idx="71">
                  <c:v>244.29079999999999</c:v>
                </c:pt>
                <c:pt idx="72">
                  <c:v>242.43350000000001</c:v>
                </c:pt>
                <c:pt idx="73">
                  <c:v>240.57849999999999</c:v>
                </c:pt>
                <c:pt idx="74">
                  <c:v>238.72579999999999</c:v>
                </c:pt>
                <c:pt idx="75">
                  <c:v>236.87549999999999</c:v>
                </c:pt>
                <c:pt idx="76">
                  <c:v>235.02770000000001</c:v>
                </c:pt>
                <c:pt idx="77">
                  <c:v>233.1823</c:v>
                </c:pt>
                <c:pt idx="78">
                  <c:v>231.33959999999999</c:v>
                </c:pt>
                <c:pt idx="79">
                  <c:v>229.49950000000001</c:v>
                </c:pt>
                <c:pt idx="80">
                  <c:v>227.66200000000001</c:v>
                </c:pt>
                <c:pt idx="81">
                  <c:v>225.82740000000001</c:v>
                </c:pt>
                <c:pt idx="82">
                  <c:v>223.99549999999999</c:v>
                </c:pt>
                <c:pt idx="83">
                  <c:v>222.16659999999999</c:v>
                </c:pt>
                <c:pt idx="84">
                  <c:v>220.3407</c:v>
                </c:pt>
                <c:pt idx="85">
                  <c:v>218.51769999999999</c:v>
                </c:pt>
                <c:pt idx="86">
                  <c:v>216.69800000000001</c:v>
                </c:pt>
                <c:pt idx="87">
                  <c:v>214.88140000000001</c:v>
                </c:pt>
                <c:pt idx="88">
                  <c:v>213.06809999999999</c:v>
                </c:pt>
                <c:pt idx="89">
                  <c:v>211.25810000000001</c:v>
                </c:pt>
                <c:pt idx="90">
                  <c:v>209.45169999999999</c:v>
                </c:pt>
                <c:pt idx="91">
                  <c:v>207.64869999999999</c:v>
                </c:pt>
                <c:pt idx="92">
                  <c:v>205.84950000000001</c:v>
                </c:pt>
                <c:pt idx="93">
                  <c:v>204.0539</c:v>
                </c:pt>
                <c:pt idx="94">
                  <c:v>202.26220000000001</c:v>
                </c:pt>
                <c:pt idx="95">
                  <c:v>200.4744</c:v>
                </c:pt>
                <c:pt idx="96">
                  <c:v>198.69069999999999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C-4928-98E4-EF92E34266C1}"/>
            </c:ext>
          </c:extLst>
        </c:ser>
        <c:ser>
          <c:idx val="1"/>
          <c:order val="1"/>
          <c:tx>
            <c:v>Cable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'pichMovement (3)'!$9:$9</c:f>
              <c:numCache>
                <c:formatCode>General</c:formatCode>
                <c:ptCount val="16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22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36</c:v>
                </c:pt>
                <c:pt idx="23">
                  <c:v>38</c:v>
                </c:pt>
                <c:pt idx="24">
                  <c:v>40</c:v>
                </c:pt>
                <c:pt idx="25">
                  <c:v>42</c:v>
                </c:pt>
                <c:pt idx="26">
                  <c:v>44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54</c:v>
                </c:pt>
                <c:pt idx="32">
                  <c:v>56</c:v>
                </c:pt>
                <c:pt idx="33">
                  <c:v>58</c:v>
                </c:pt>
                <c:pt idx="34">
                  <c:v>60</c:v>
                </c:pt>
                <c:pt idx="35">
                  <c:v>62</c:v>
                </c:pt>
                <c:pt idx="36">
                  <c:v>64</c:v>
                </c:pt>
                <c:pt idx="37">
                  <c:v>66</c:v>
                </c:pt>
                <c:pt idx="38">
                  <c:v>68</c:v>
                </c:pt>
                <c:pt idx="39">
                  <c:v>70</c:v>
                </c:pt>
                <c:pt idx="40">
                  <c:v>72</c:v>
                </c:pt>
                <c:pt idx="41">
                  <c:v>74</c:v>
                </c:pt>
                <c:pt idx="42">
                  <c:v>76</c:v>
                </c:pt>
                <c:pt idx="43">
                  <c:v>78</c:v>
                </c:pt>
                <c:pt idx="44">
                  <c:v>80</c:v>
                </c:pt>
                <c:pt idx="45">
                  <c:v>82</c:v>
                </c:pt>
                <c:pt idx="46">
                  <c:v>84</c:v>
                </c:pt>
                <c:pt idx="47">
                  <c:v>86</c:v>
                </c:pt>
                <c:pt idx="48">
                  <c:v>88</c:v>
                </c:pt>
                <c:pt idx="49">
                  <c:v>90</c:v>
                </c:pt>
                <c:pt idx="50">
                  <c:v>92</c:v>
                </c:pt>
                <c:pt idx="51">
                  <c:v>94</c:v>
                </c:pt>
                <c:pt idx="52">
                  <c:v>96</c:v>
                </c:pt>
                <c:pt idx="53">
                  <c:v>98</c:v>
                </c:pt>
                <c:pt idx="54">
                  <c:v>100</c:v>
                </c:pt>
                <c:pt idx="55">
                  <c:v>102</c:v>
                </c:pt>
                <c:pt idx="56">
                  <c:v>104</c:v>
                </c:pt>
                <c:pt idx="57">
                  <c:v>106</c:v>
                </c:pt>
                <c:pt idx="58">
                  <c:v>108</c:v>
                </c:pt>
                <c:pt idx="59">
                  <c:v>110</c:v>
                </c:pt>
                <c:pt idx="60">
                  <c:v>112</c:v>
                </c:pt>
                <c:pt idx="61">
                  <c:v>114</c:v>
                </c:pt>
                <c:pt idx="62">
                  <c:v>116</c:v>
                </c:pt>
                <c:pt idx="63">
                  <c:v>118</c:v>
                </c:pt>
                <c:pt idx="64">
                  <c:v>120</c:v>
                </c:pt>
                <c:pt idx="65">
                  <c:v>122</c:v>
                </c:pt>
                <c:pt idx="66">
                  <c:v>124</c:v>
                </c:pt>
                <c:pt idx="67">
                  <c:v>126</c:v>
                </c:pt>
                <c:pt idx="68">
                  <c:v>128</c:v>
                </c:pt>
                <c:pt idx="69">
                  <c:v>130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144</c:v>
                </c:pt>
                <c:pt idx="77">
                  <c:v>146</c:v>
                </c:pt>
                <c:pt idx="78">
                  <c:v>148</c:v>
                </c:pt>
                <c:pt idx="79">
                  <c:v>150</c:v>
                </c:pt>
                <c:pt idx="80">
                  <c:v>152</c:v>
                </c:pt>
                <c:pt idx="81">
                  <c:v>154</c:v>
                </c:pt>
                <c:pt idx="82">
                  <c:v>156</c:v>
                </c:pt>
                <c:pt idx="83">
                  <c:v>158</c:v>
                </c:pt>
                <c:pt idx="84">
                  <c:v>160</c:v>
                </c:pt>
                <c:pt idx="85">
                  <c:v>162</c:v>
                </c:pt>
                <c:pt idx="86">
                  <c:v>164</c:v>
                </c:pt>
                <c:pt idx="87">
                  <c:v>166</c:v>
                </c:pt>
                <c:pt idx="88">
                  <c:v>168</c:v>
                </c:pt>
                <c:pt idx="89">
                  <c:v>170</c:v>
                </c:pt>
                <c:pt idx="90">
                  <c:v>172</c:v>
                </c:pt>
                <c:pt idx="91">
                  <c:v>174</c:v>
                </c:pt>
                <c:pt idx="92">
                  <c:v>176</c:v>
                </c:pt>
                <c:pt idx="93">
                  <c:v>178</c:v>
                </c:pt>
                <c:pt idx="94">
                  <c:v>180</c:v>
                </c:pt>
                <c:pt idx="95">
                  <c:v>182</c:v>
                </c:pt>
                <c:pt idx="96">
                  <c:v>184</c:v>
                </c:pt>
                <c:pt idx="97">
                  <c:v>186</c:v>
                </c:pt>
                <c:pt idx="98">
                  <c:v>188</c:v>
                </c:pt>
                <c:pt idx="99">
                  <c:v>190</c:v>
                </c:pt>
              </c:numCache>
            </c:numRef>
          </c:cat>
          <c:val>
            <c:numRef>
              <c:f>'pichMovement (3)'!$D$12:$CV$12</c:f>
              <c:numCache>
                <c:formatCode>General</c:formatCode>
                <c:ptCount val="97"/>
                <c:pt idx="0">
                  <c:v>379.24270000000001</c:v>
                </c:pt>
                <c:pt idx="1">
                  <c:v>379.24270000000001</c:v>
                </c:pt>
                <c:pt idx="2">
                  <c:v>379.24270000000001</c:v>
                </c:pt>
                <c:pt idx="3">
                  <c:v>377.31819999999999</c:v>
                </c:pt>
                <c:pt idx="4">
                  <c:v>375.39449999999999</c:v>
                </c:pt>
                <c:pt idx="5">
                  <c:v>373.47160000000002</c:v>
                </c:pt>
                <c:pt idx="6">
                  <c:v>371.54950000000002</c:v>
                </c:pt>
                <c:pt idx="7">
                  <c:v>369.62819999999999</c:v>
                </c:pt>
                <c:pt idx="8">
                  <c:v>367.70780000000002</c:v>
                </c:pt>
                <c:pt idx="9">
                  <c:v>365.78820000000002</c:v>
                </c:pt>
                <c:pt idx="10">
                  <c:v>363.86950000000002</c:v>
                </c:pt>
                <c:pt idx="11">
                  <c:v>361.95170000000002</c:v>
                </c:pt>
                <c:pt idx="12">
                  <c:v>360.03469999999999</c:v>
                </c:pt>
                <c:pt idx="13">
                  <c:v>358.11869999999999</c:v>
                </c:pt>
                <c:pt idx="14">
                  <c:v>356.20359999999999</c:v>
                </c:pt>
                <c:pt idx="15">
                  <c:v>354.2894</c:v>
                </c:pt>
                <c:pt idx="16">
                  <c:v>352.37619999999998</c:v>
                </c:pt>
                <c:pt idx="17">
                  <c:v>350.464</c:v>
                </c:pt>
                <c:pt idx="18">
                  <c:v>348.55270000000002</c:v>
                </c:pt>
                <c:pt idx="19">
                  <c:v>346.64249999999998</c:v>
                </c:pt>
                <c:pt idx="20">
                  <c:v>344.73320000000001</c:v>
                </c:pt>
                <c:pt idx="21">
                  <c:v>342.82499999999999</c:v>
                </c:pt>
                <c:pt idx="22">
                  <c:v>340.91789999999997</c:v>
                </c:pt>
                <c:pt idx="23">
                  <c:v>339.01179999999999</c:v>
                </c:pt>
                <c:pt idx="24">
                  <c:v>337.10680000000002</c:v>
                </c:pt>
                <c:pt idx="25">
                  <c:v>335.2029</c:v>
                </c:pt>
                <c:pt idx="26">
                  <c:v>333.30020000000002</c:v>
                </c:pt>
                <c:pt idx="27">
                  <c:v>331.39859999999999</c:v>
                </c:pt>
                <c:pt idx="28">
                  <c:v>329.49810000000002</c:v>
                </c:pt>
                <c:pt idx="29">
                  <c:v>327.59879999999998</c:v>
                </c:pt>
                <c:pt idx="30">
                  <c:v>325.70080000000002</c:v>
                </c:pt>
                <c:pt idx="31">
                  <c:v>323.80399999999997</c:v>
                </c:pt>
                <c:pt idx="32">
                  <c:v>321.90839999999997</c:v>
                </c:pt>
                <c:pt idx="33">
                  <c:v>320.01409999999998</c:v>
                </c:pt>
                <c:pt idx="34">
                  <c:v>318.12099999999998</c:v>
                </c:pt>
                <c:pt idx="35">
                  <c:v>316.22930000000002</c:v>
                </c:pt>
                <c:pt idx="36">
                  <c:v>314.339</c:v>
                </c:pt>
                <c:pt idx="37">
                  <c:v>312.45</c:v>
                </c:pt>
                <c:pt idx="38">
                  <c:v>310.56240000000003</c:v>
                </c:pt>
                <c:pt idx="39">
                  <c:v>308.67619999999999</c:v>
                </c:pt>
                <c:pt idx="40">
                  <c:v>306.79149999999998</c:v>
                </c:pt>
                <c:pt idx="41">
                  <c:v>304.90820000000002</c:v>
                </c:pt>
                <c:pt idx="42">
                  <c:v>303.02640000000002</c:v>
                </c:pt>
                <c:pt idx="43">
                  <c:v>301.14609999999999</c:v>
                </c:pt>
                <c:pt idx="44">
                  <c:v>299.26740000000001</c:v>
                </c:pt>
                <c:pt idx="45">
                  <c:v>297.39030000000002</c:v>
                </c:pt>
                <c:pt idx="46">
                  <c:v>295.51479999999998</c:v>
                </c:pt>
                <c:pt idx="47">
                  <c:v>293.64089999999999</c:v>
                </c:pt>
                <c:pt idx="48">
                  <c:v>291.76870000000002</c:v>
                </c:pt>
                <c:pt idx="49">
                  <c:v>289.89830000000001</c:v>
                </c:pt>
                <c:pt idx="50">
                  <c:v>288.02949999999998</c:v>
                </c:pt>
                <c:pt idx="51">
                  <c:v>286.16250000000002</c:v>
                </c:pt>
                <c:pt idx="52">
                  <c:v>284.29739999999998</c:v>
                </c:pt>
                <c:pt idx="53">
                  <c:v>282.4341</c:v>
                </c:pt>
                <c:pt idx="54">
                  <c:v>280.57260000000002</c:v>
                </c:pt>
                <c:pt idx="55">
                  <c:v>278.7131</c:v>
                </c:pt>
                <c:pt idx="56">
                  <c:v>276.85559999999998</c:v>
                </c:pt>
                <c:pt idx="57">
                  <c:v>275</c:v>
                </c:pt>
                <c:pt idx="58">
                  <c:v>273.1465</c:v>
                </c:pt>
                <c:pt idx="59">
                  <c:v>271.29500000000002</c:v>
                </c:pt>
                <c:pt idx="60">
                  <c:v>269.44569999999999</c:v>
                </c:pt>
                <c:pt idx="61">
                  <c:v>267.59859999999998</c:v>
                </c:pt>
                <c:pt idx="62">
                  <c:v>265.75360000000001</c:v>
                </c:pt>
                <c:pt idx="63">
                  <c:v>263.911</c:v>
                </c:pt>
                <c:pt idx="64">
                  <c:v>262.07060000000001</c:v>
                </c:pt>
                <c:pt idx="65">
                  <c:v>260.23259999999999</c:v>
                </c:pt>
                <c:pt idx="66">
                  <c:v>258.39699999999999</c:v>
                </c:pt>
                <c:pt idx="67">
                  <c:v>256.56380000000001</c:v>
                </c:pt>
                <c:pt idx="68">
                  <c:v>254.73320000000001</c:v>
                </c:pt>
                <c:pt idx="69">
                  <c:v>252.9051</c:v>
                </c:pt>
                <c:pt idx="70">
                  <c:v>251.0797</c:v>
                </c:pt>
                <c:pt idx="71">
                  <c:v>249.2569</c:v>
                </c:pt>
                <c:pt idx="72">
                  <c:v>247.43690000000001</c:v>
                </c:pt>
                <c:pt idx="73">
                  <c:v>245.61959999999999</c:v>
                </c:pt>
                <c:pt idx="74">
                  <c:v>243.80529999999999</c:v>
                </c:pt>
                <c:pt idx="75">
                  <c:v>241.99379999999999</c:v>
                </c:pt>
                <c:pt idx="76">
                  <c:v>240.18530000000001</c:v>
                </c:pt>
                <c:pt idx="77">
                  <c:v>238.37989999999999</c:v>
                </c:pt>
                <c:pt idx="78">
                  <c:v>236.57769999999999</c:v>
                </c:pt>
                <c:pt idx="79">
                  <c:v>234.77860000000001</c:v>
                </c:pt>
                <c:pt idx="80">
                  <c:v>232.9828</c:v>
                </c:pt>
                <c:pt idx="81">
                  <c:v>231.19040000000001</c:v>
                </c:pt>
                <c:pt idx="82">
                  <c:v>229.4014</c:v>
                </c:pt>
                <c:pt idx="83">
                  <c:v>227.61590000000001</c:v>
                </c:pt>
                <c:pt idx="84">
                  <c:v>225.834</c:v>
                </c:pt>
                <c:pt idx="85">
                  <c:v>224.0558</c:v>
                </c:pt>
                <c:pt idx="86">
                  <c:v>222.28139999999999</c:v>
                </c:pt>
                <c:pt idx="87">
                  <c:v>220.51079999999999</c:v>
                </c:pt>
                <c:pt idx="88">
                  <c:v>218.7441</c:v>
                </c:pt>
                <c:pt idx="89">
                  <c:v>216.98159999999999</c:v>
                </c:pt>
                <c:pt idx="90">
                  <c:v>215.22309999999999</c:v>
                </c:pt>
                <c:pt idx="91">
                  <c:v>213.46899999999999</c:v>
                </c:pt>
                <c:pt idx="92">
                  <c:v>211.7191</c:v>
                </c:pt>
                <c:pt idx="93">
                  <c:v>209.97380000000001</c:v>
                </c:pt>
                <c:pt idx="94">
                  <c:v>208.233</c:v>
                </c:pt>
                <c:pt idx="95">
                  <c:v>206.49700000000001</c:v>
                </c:pt>
                <c:pt idx="96">
                  <c:v>204.76570000000001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C-4928-98E4-EF92E34266C1}"/>
            </c:ext>
          </c:extLst>
        </c:ser>
        <c:ser>
          <c:idx val="2"/>
          <c:order val="2"/>
          <c:tx>
            <c:v>Cable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'pichMovement (3)'!$9:$9</c:f>
              <c:numCache>
                <c:formatCode>General</c:formatCode>
                <c:ptCount val="16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22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36</c:v>
                </c:pt>
                <c:pt idx="23">
                  <c:v>38</c:v>
                </c:pt>
                <c:pt idx="24">
                  <c:v>40</c:v>
                </c:pt>
                <c:pt idx="25">
                  <c:v>42</c:v>
                </c:pt>
                <c:pt idx="26">
                  <c:v>44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54</c:v>
                </c:pt>
                <c:pt idx="32">
                  <c:v>56</c:v>
                </c:pt>
                <c:pt idx="33">
                  <c:v>58</c:v>
                </c:pt>
                <c:pt idx="34">
                  <c:v>60</c:v>
                </c:pt>
                <c:pt idx="35">
                  <c:v>62</c:v>
                </c:pt>
                <c:pt idx="36">
                  <c:v>64</c:v>
                </c:pt>
                <c:pt idx="37">
                  <c:v>66</c:v>
                </c:pt>
                <c:pt idx="38">
                  <c:v>68</c:v>
                </c:pt>
                <c:pt idx="39">
                  <c:v>70</c:v>
                </c:pt>
                <c:pt idx="40">
                  <c:v>72</c:v>
                </c:pt>
                <c:pt idx="41">
                  <c:v>74</c:v>
                </c:pt>
                <c:pt idx="42">
                  <c:v>76</c:v>
                </c:pt>
                <c:pt idx="43">
                  <c:v>78</c:v>
                </c:pt>
                <c:pt idx="44">
                  <c:v>80</c:v>
                </c:pt>
                <c:pt idx="45">
                  <c:v>82</c:v>
                </c:pt>
                <c:pt idx="46">
                  <c:v>84</c:v>
                </c:pt>
                <c:pt idx="47">
                  <c:v>86</c:v>
                </c:pt>
                <c:pt idx="48">
                  <c:v>88</c:v>
                </c:pt>
                <c:pt idx="49">
                  <c:v>90</c:v>
                </c:pt>
                <c:pt idx="50">
                  <c:v>92</c:v>
                </c:pt>
                <c:pt idx="51">
                  <c:v>94</c:v>
                </c:pt>
                <c:pt idx="52">
                  <c:v>96</c:v>
                </c:pt>
                <c:pt idx="53">
                  <c:v>98</c:v>
                </c:pt>
                <c:pt idx="54">
                  <c:v>100</c:v>
                </c:pt>
                <c:pt idx="55">
                  <c:v>102</c:v>
                </c:pt>
                <c:pt idx="56">
                  <c:v>104</c:v>
                </c:pt>
                <c:pt idx="57">
                  <c:v>106</c:v>
                </c:pt>
                <c:pt idx="58">
                  <c:v>108</c:v>
                </c:pt>
                <c:pt idx="59">
                  <c:v>110</c:v>
                </c:pt>
                <c:pt idx="60">
                  <c:v>112</c:v>
                </c:pt>
                <c:pt idx="61">
                  <c:v>114</c:v>
                </c:pt>
                <c:pt idx="62">
                  <c:v>116</c:v>
                </c:pt>
                <c:pt idx="63">
                  <c:v>118</c:v>
                </c:pt>
                <c:pt idx="64">
                  <c:v>120</c:v>
                </c:pt>
                <c:pt idx="65">
                  <c:v>122</c:v>
                </c:pt>
                <c:pt idx="66">
                  <c:v>124</c:v>
                </c:pt>
                <c:pt idx="67">
                  <c:v>126</c:v>
                </c:pt>
                <c:pt idx="68">
                  <c:v>128</c:v>
                </c:pt>
                <c:pt idx="69">
                  <c:v>130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144</c:v>
                </c:pt>
                <c:pt idx="77">
                  <c:v>146</c:v>
                </c:pt>
                <c:pt idx="78">
                  <c:v>148</c:v>
                </c:pt>
                <c:pt idx="79">
                  <c:v>150</c:v>
                </c:pt>
                <c:pt idx="80">
                  <c:v>152</c:v>
                </c:pt>
                <c:pt idx="81">
                  <c:v>154</c:v>
                </c:pt>
                <c:pt idx="82">
                  <c:v>156</c:v>
                </c:pt>
                <c:pt idx="83">
                  <c:v>158</c:v>
                </c:pt>
                <c:pt idx="84">
                  <c:v>160</c:v>
                </c:pt>
                <c:pt idx="85">
                  <c:v>162</c:v>
                </c:pt>
                <c:pt idx="86">
                  <c:v>164</c:v>
                </c:pt>
                <c:pt idx="87">
                  <c:v>166</c:v>
                </c:pt>
                <c:pt idx="88">
                  <c:v>168</c:v>
                </c:pt>
                <c:pt idx="89">
                  <c:v>170</c:v>
                </c:pt>
                <c:pt idx="90">
                  <c:v>172</c:v>
                </c:pt>
                <c:pt idx="91">
                  <c:v>174</c:v>
                </c:pt>
                <c:pt idx="92">
                  <c:v>176</c:v>
                </c:pt>
                <c:pt idx="93">
                  <c:v>178</c:v>
                </c:pt>
                <c:pt idx="94">
                  <c:v>180</c:v>
                </c:pt>
                <c:pt idx="95">
                  <c:v>182</c:v>
                </c:pt>
                <c:pt idx="96">
                  <c:v>184</c:v>
                </c:pt>
                <c:pt idx="97">
                  <c:v>186</c:v>
                </c:pt>
                <c:pt idx="98">
                  <c:v>188</c:v>
                </c:pt>
                <c:pt idx="99">
                  <c:v>190</c:v>
                </c:pt>
              </c:numCache>
            </c:numRef>
          </c:cat>
          <c:val>
            <c:numRef>
              <c:f>'pichMovement (3)'!$D$13:$CV$13</c:f>
              <c:numCache>
                <c:formatCode>General</c:formatCode>
                <c:ptCount val="97"/>
                <c:pt idx="0">
                  <c:v>379.24270000000001</c:v>
                </c:pt>
                <c:pt idx="1">
                  <c:v>379.24270000000001</c:v>
                </c:pt>
                <c:pt idx="2">
                  <c:v>379.24270000000001</c:v>
                </c:pt>
                <c:pt idx="3">
                  <c:v>377.31819999999999</c:v>
                </c:pt>
                <c:pt idx="4">
                  <c:v>375.39449999999999</c:v>
                </c:pt>
                <c:pt idx="5">
                  <c:v>373.47160000000002</c:v>
                </c:pt>
                <c:pt idx="6">
                  <c:v>371.54950000000002</c:v>
                </c:pt>
                <c:pt idx="7">
                  <c:v>369.62819999999999</c:v>
                </c:pt>
                <c:pt idx="8">
                  <c:v>367.70780000000002</c:v>
                </c:pt>
                <c:pt idx="9">
                  <c:v>365.78820000000002</c:v>
                </c:pt>
                <c:pt idx="10">
                  <c:v>363.86950000000002</c:v>
                </c:pt>
                <c:pt idx="11">
                  <c:v>361.95170000000002</c:v>
                </c:pt>
                <c:pt idx="12">
                  <c:v>360.03469999999999</c:v>
                </c:pt>
                <c:pt idx="13">
                  <c:v>358.11869999999999</c:v>
                </c:pt>
                <c:pt idx="14">
                  <c:v>356.20359999999999</c:v>
                </c:pt>
                <c:pt idx="15">
                  <c:v>354.2894</c:v>
                </c:pt>
                <c:pt idx="16">
                  <c:v>352.37619999999998</c:v>
                </c:pt>
                <c:pt idx="17">
                  <c:v>350.464</c:v>
                </c:pt>
                <c:pt idx="18">
                  <c:v>348.55270000000002</c:v>
                </c:pt>
                <c:pt idx="19">
                  <c:v>346.64249999999998</c:v>
                </c:pt>
                <c:pt idx="20">
                  <c:v>344.73320000000001</c:v>
                </c:pt>
                <c:pt idx="21">
                  <c:v>342.82499999999999</c:v>
                </c:pt>
                <c:pt idx="22">
                  <c:v>340.91789999999997</c:v>
                </c:pt>
                <c:pt idx="23">
                  <c:v>339.01179999999999</c:v>
                </c:pt>
                <c:pt idx="24">
                  <c:v>337.10680000000002</c:v>
                </c:pt>
                <c:pt idx="25">
                  <c:v>335.2029</c:v>
                </c:pt>
                <c:pt idx="26">
                  <c:v>333.30020000000002</c:v>
                </c:pt>
                <c:pt idx="27">
                  <c:v>331.39859999999999</c:v>
                </c:pt>
                <c:pt idx="28">
                  <c:v>329.49810000000002</c:v>
                </c:pt>
                <c:pt idx="29">
                  <c:v>327.59879999999998</c:v>
                </c:pt>
                <c:pt idx="30">
                  <c:v>325.70080000000002</c:v>
                </c:pt>
                <c:pt idx="31">
                  <c:v>323.80399999999997</c:v>
                </c:pt>
                <c:pt idx="32">
                  <c:v>321.90839999999997</c:v>
                </c:pt>
                <c:pt idx="33">
                  <c:v>320.01409999999998</c:v>
                </c:pt>
                <c:pt idx="34">
                  <c:v>318.12099999999998</c:v>
                </c:pt>
                <c:pt idx="35">
                  <c:v>316.22930000000002</c:v>
                </c:pt>
                <c:pt idx="36">
                  <c:v>314.339</c:v>
                </c:pt>
                <c:pt idx="37">
                  <c:v>312.45</c:v>
                </c:pt>
                <c:pt idx="38">
                  <c:v>310.56240000000003</c:v>
                </c:pt>
                <c:pt idx="39">
                  <c:v>308.67619999999999</c:v>
                </c:pt>
                <c:pt idx="40">
                  <c:v>306.79149999999998</c:v>
                </c:pt>
                <c:pt idx="41">
                  <c:v>304.90820000000002</c:v>
                </c:pt>
                <c:pt idx="42">
                  <c:v>303.02640000000002</c:v>
                </c:pt>
                <c:pt idx="43">
                  <c:v>301.14609999999999</c:v>
                </c:pt>
                <c:pt idx="44">
                  <c:v>299.26740000000001</c:v>
                </c:pt>
                <c:pt idx="45">
                  <c:v>297.39030000000002</c:v>
                </c:pt>
                <c:pt idx="46">
                  <c:v>295.51479999999998</c:v>
                </c:pt>
                <c:pt idx="47">
                  <c:v>293.64089999999999</c:v>
                </c:pt>
                <c:pt idx="48">
                  <c:v>291.76870000000002</c:v>
                </c:pt>
                <c:pt idx="49">
                  <c:v>289.89830000000001</c:v>
                </c:pt>
                <c:pt idx="50">
                  <c:v>288.02949999999998</c:v>
                </c:pt>
                <c:pt idx="51">
                  <c:v>286.16250000000002</c:v>
                </c:pt>
                <c:pt idx="52">
                  <c:v>284.29739999999998</c:v>
                </c:pt>
                <c:pt idx="53">
                  <c:v>282.4341</c:v>
                </c:pt>
                <c:pt idx="54">
                  <c:v>280.57260000000002</c:v>
                </c:pt>
                <c:pt idx="55">
                  <c:v>278.7131</c:v>
                </c:pt>
                <c:pt idx="56">
                  <c:v>276.85559999999998</c:v>
                </c:pt>
                <c:pt idx="57">
                  <c:v>275</c:v>
                </c:pt>
                <c:pt idx="58">
                  <c:v>273.1465</c:v>
                </c:pt>
                <c:pt idx="59">
                  <c:v>271.29500000000002</c:v>
                </c:pt>
                <c:pt idx="60">
                  <c:v>269.44569999999999</c:v>
                </c:pt>
                <c:pt idx="61">
                  <c:v>267.59859999999998</c:v>
                </c:pt>
                <c:pt idx="62">
                  <c:v>265.75360000000001</c:v>
                </c:pt>
                <c:pt idx="63">
                  <c:v>263.911</c:v>
                </c:pt>
                <c:pt idx="64">
                  <c:v>262.07060000000001</c:v>
                </c:pt>
                <c:pt idx="65">
                  <c:v>260.23259999999999</c:v>
                </c:pt>
                <c:pt idx="66">
                  <c:v>258.39699999999999</c:v>
                </c:pt>
                <c:pt idx="67">
                  <c:v>256.56380000000001</c:v>
                </c:pt>
                <c:pt idx="68">
                  <c:v>254.73320000000001</c:v>
                </c:pt>
                <c:pt idx="69">
                  <c:v>252.9051</c:v>
                </c:pt>
                <c:pt idx="70">
                  <c:v>251.0797</c:v>
                </c:pt>
                <c:pt idx="71">
                  <c:v>249.2569</c:v>
                </c:pt>
                <c:pt idx="72">
                  <c:v>247.43690000000001</c:v>
                </c:pt>
                <c:pt idx="73">
                  <c:v>245.61959999999999</c:v>
                </c:pt>
                <c:pt idx="74">
                  <c:v>243.80529999999999</c:v>
                </c:pt>
                <c:pt idx="75">
                  <c:v>241.99379999999999</c:v>
                </c:pt>
                <c:pt idx="76">
                  <c:v>240.18530000000001</c:v>
                </c:pt>
                <c:pt idx="77">
                  <c:v>238.37989999999999</c:v>
                </c:pt>
                <c:pt idx="78">
                  <c:v>236.57769999999999</c:v>
                </c:pt>
                <c:pt idx="79">
                  <c:v>234.77860000000001</c:v>
                </c:pt>
                <c:pt idx="80">
                  <c:v>232.9828</c:v>
                </c:pt>
                <c:pt idx="81">
                  <c:v>231.19040000000001</c:v>
                </c:pt>
                <c:pt idx="82">
                  <c:v>229.4014</c:v>
                </c:pt>
                <c:pt idx="83">
                  <c:v>227.61590000000001</c:v>
                </c:pt>
                <c:pt idx="84">
                  <c:v>225.834</c:v>
                </c:pt>
                <c:pt idx="85">
                  <c:v>224.0558</c:v>
                </c:pt>
                <c:pt idx="86">
                  <c:v>222.28139999999999</c:v>
                </c:pt>
                <c:pt idx="87">
                  <c:v>220.51079999999999</c:v>
                </c:pt>
                <c:pt idx="88">
                  <c:v>218.7441</c:v>
                </c:pt>
                <c:pt idx="89">
                  <c:v>216.98159999999999</c:v>
                </c:pt>
                <c:pt idx="90">
                  <c:v>215.22309999999999</c:v>
                </c:pt>
                <c:pt idx="91">
                  <c:v>213.46899999999999</c:v>
                </c:pt>
                <c:pt idx="92">
                  <c:v>211.7191</c:v>
                </c:pt>
                <c:pt idx="93">
                  <c:v>209.97380000000001</c:v>
                </c:pt>
                <c:pt idx="94">
                  <c:v>208.233</c:v>
                </c:pt>
                <c:pt idx="95">
                  <c:v>206.49700000000001</c:v>
                </c:pt>
                <c:pt idx="96">
                  <c:v>204.76570000000001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C-4928-98E4-EF92E34266C1}"/>
            </c:ext>
          </c:extLst>
        </c:ser>
        <c:ser>
          <c:idx val="3"/>
          <c:order val="3"/>
          <c:tx>
            <c:v>Cable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'pichMovement (3)'!$9:$9</c:f>
              <c:numCache>
                <c:formatCode>General</c:formatCode>
                <c:ptCount val="16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22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36</c:v>
                </c:pt>
                <c:pt idx="23">
                  <c:v>38</c:v>
                </c:pt>
                <c:pt idx="24">
                  <c:v>40</c:v>
                </c:pt>
                <c:pt idx="25">
                  <c:v>42</c:v>
                </c:pt>
                <c:pt idx="26">
                  <c:v>44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54</c:v>
                </c:pt>
                <c:pt idx="32">
                  <c:v>56</c:v>
                </c:pt>
                <c:pt idx="33">
                  <c:v>58</c:v>
                </c:pt>
                <c:pt idx="34">
                  <c:v>60</c:v>
                </c:pt>
                <c:pt idx="35">
                  <c:v>62</c:v>
                </c:pt>
                <c:pt idx="36">
                  <c:v>64</c:v>
                </c:pt>
                <c:pt idx="37">
                  <c:v>66</c:v>
                </c:pt>
                <c:pt idx="38">
                  <c:v>68</c:v>
                </c:pt>
                <c:pt idx="39">
                  <c:v>70</c:v>
                </c:pt>
                <c:pt idx="40">
                  <c:v>72</c:v>
                </c:pt>
                <c:pt idx="41">
                  <c:v>74</c:v>
                </c:pt>
                <c:pt idx="42">
                  <c:v>76</c:v>
                </c:pt>
                <c:pt idx="43">
                  <c:v>78</c:v>
                </c:pt>
                <c:pt idx="44">
                  <c:v>80</c:v>
                </c:pt>
                <c:pt idx="45">
                  <c:v>82</c:v>
                </c:pt>
                <c:pt idx="46">
                  <c:v>84</c:v>
                </c:pt>
                <c:pt idx="47">
                  <c:v>86</c:v>
                </c:pt>
                <c:pt idx="48">
                  <c:v>88</c:v>
                </c:pt>
                <c:pt idx="49">
                  <c:v>90</c:v>
                </c:pt>
                <c:pt idx="50">
                  <c:v>92</c:v>
                </c:pt>
                <c:pt idx="51">
                  <c:v>94</c:v>
                </c:pt>
                <c:pt idx="52">
                  <c:v>96</c:v>
                </c:pt>
                <c:pt idx="53">
                  <c:v>98</c:v>
                </c:pt>
                <c:pt idx="54">
                  <c:v>100</c:v>
                </c:pt>
                <c:pt idx="55">
                  <c:v>102</c:v>
                </c:pt>
                <c:pt idx="56">
                  <c:v>104</c:v>
                </c:pt>
                <c:pt idx="57">
                  <c:v>106</c:v>
                </c:pt>
                <c:pt idx="58">
                  <c:v>108</c:v>
                </c:pt>
                <c:pt idx="59">
                  <c:v>110</c:v>
                </c:pt>
                <c:pt idx="60">
                  <c:v>112</c:v>
                </c:pt>
                <c:pt idx="61">
                  <c:v>114</c:v>
                </c:pt>
                <c:pt idx="62">
                  <c:v>116</c:v>
                </c:pt>
                <c:pt idx="63">
                  <c:v>118</c:v>
                </c:pt>
                <c:pt idx="64">
                  <c:v>120</c:v>
                </c:pt>
                <c:pt idx="65">
                  <c:v>122</c:v>
                </c:pt>
                <c:pt idx="66">
                  <c:v>124</c:v>
                </c:pt>
                <c:pt idx="67">
                  <c:v>126</c:v>
                </c:pt>
                <c:pt idx="68">
                  <c:v>128</c:v>
                </c:pt>
                <c:pt idx="69">
                  <c:v>130</c:v>
                </c:pt>
                <c:pt idx="70">
                  <c:v>132</c:v>
                </c:pt>
                <c:pt idx="71">
                  <c:v>134</c:v>
                </c:pt>
                <c:pt idx="72">
                  <c:v>136</c:v>
                </c:pt>
                <c:pt idx="73">
                  <c:v>138</c:v>
                </c:pt>
                <c:pt idx="74">
                  <c:v>140</c:v>
                </c:pt>
                <c:pt idx="75">
                  <c:v>142</c:v>
                </c:pt>
                <c:pt idx="76">
                  <c:v>144</c:v>
                </c:pt>
                <c:pt idx="77">
                  <c:v>146</c:v>
                </c:pt>
                <c:pt idx="78">
                  <c:v>148</c:v>
                </c:pt>
                <c:pt idx="79">
                  <c:v>150</c:v>
                </c:pt>
                <c:pt idx="80">
                  <c:v>152</c:v>
                </c:pt>
                <c:pt idx="81">
                  <c:v>154</c:v>
                </c:pt>
                <c:pt idx="82">
                  <c:v>156</c:v>
                </c:pt>
                <c:pt idx="83">
                  <c:v>158</c:v>
                </c:pt>
                <c:pt idx="84">
                  <c:v>160</c:v>
                </c:pt>
                <c:pt idx="85">
                  <c:v>162</c:v>
                </c:pt>
                <c:pt idx="86">
                  <c:v>164</c:v>
                </c:pt>
                <c:pt idx="87">
                  <c:v>166</c:v>
                </c:pt>
                <c:pt idx="88">
                  <c:v>168</c:v>
                </c:pt>
                <c:pt idx="89">
                  <c:v>170</c:v>
                </c:pt>
                <c:pt idx="90">
                  <c:v>172</c:v>
                </c:pt>
                <c:pt idx="91">
                  <c:v>174</c:v>
                </c:pt>
                <c:pt idx="92">
                  <c:v>176</c:v>
                </c:pt>
                <c:pt idx="93">
                  <c:v>178</c:v>
                </c:pt>
                <c:pt idx="94">
                  <c:v>180</c:v>
                </c:pt>
                <c:pt idx="95">
                  <c:v>182</c:v>
                </c:pt>
                <c:pt idx="96">
                  <c:v>184</c:v>
                </c:pt>
                <c:pt idx="97">
                  <c:v>186</c:v>
                </c:pt>
                <c:pt idx="98">
                  <c:v>188</c:v>
                </c:pt>
                <c:pt idx="99">
                  <c:v>190</c:v>
                </c:pt>
              </c:numCache>
            </c:numRef>
          </c:cat>
          <c:val>
            <c:numRef>
              <c:f>'pichMovement (3)'!$D$14:$CV$14</c:f>
              <c:numCache>
                <c:formatCode>General</c:formatCode>
                <c:ptCount val="97"/>
                <c:pt idx="0">
                  <c:v>375.9973</c:v>
                </c:pt>
                <c:pt idx="1">
                  <c:v>375.9973</c:v>
                </c:pt>
                <c:pt idx="2">
                  <c:v>375.9973</c:v>
                </c:pt>
                <c:pt idx="3">
                  <c:v>374.05619999999999</c:v>
                </c:pt>
                <c:pt idx="4">
                  <c:v>372.11559999999997</c:v>
                </c:pt>
                <c:pt idx="5">
                  <c:v>370.17559999999997</c:v>
                </c:pt>
                <c:pt idx="6">
                  <c:v>368.23630000000003</c:v>
                </c:pt>
                <c:pt idx="7">
                  <c:v>366.29770000000002</c:v>
                </c:pt>
                <c:pt idx="8">
                  <c:v>364.35969999999998</c:v>
                </c:pt>
                <c:pt idx="9">
                  <c:v>362.42239999999998</c:v>
                </c:pt>
                <c:pt idx="10">
                  <c:v>360.48579999999998</c:v>
                </c:pt>
                <c:pt idx="11">
                  <c:v>358.54989999999998</c:v>
                </c:pt>
                <c:pt idx="12">
                  <c:v>356.6146</c:v>
                </c:pt>
                <c:pt idx="13">
                  <c:v>354.68009999999998</c:v>
                </c:pt>
                <c:pt idx="14">
                  <c:v>352.74639999999999</c:v>
                </c:pt>
                <c:pt idx="15">
                  <c:v>350.8134</c:v>
                </c:pt>
                <c:pt idx="16">
                  <c:v>348.8811</c:v>
                </c:pt>
                <c:pt idx="17">
                  <c:v>346.94959999999998</c:v>
                </c:pt>
                <c:pt idx="18">
                  <c:v>345.0188</c:v>
                </c:pt>
                <c:pt idx="19">
                  <c:v>343.08890000000002</c:v>
                </c:pt>
                <c:pt idx="20">
                  <c:v>341.15980000000002</c:v>
                </c:pt>
                <c:pt idx="21">
                  <c:v>339.23149999999998</c:v>
                </c:pt>
                <c:pt idx="22">
                  <c:v>337.30399999999997</c:v>
                </c:pt>
                <c:pt idx="23">
                  <c:v>335.37740000000002</c:v>
                </c:pt>
                <c:pt idx="24">
                  <c:v>333.45170000000002</c:v>
                </c:pt>
                <c:pt idx="25">
                  <c:v>331.52679999999998</c:v>
                </c:pt>
                <c:pt idx="26">
                  <c:v>329.6028</c:v>
                </c:pt>
                <c:pt idx="27">
                  <c:v>327.67970000000003</c:v>
                </c:pt>
                <c:pt idx="28">
                  <c:v>325.75760000000002</c:v>
                </c:pt>
                <c:pt idx="29">
                  <c:v>323.83640000000003</c:v>
                </c:pt>
                <c:pt idx="30">
                  <c:v>321.91609999999997</c:v>
                </c:pt>
                <c:pt idx="31">
                  <c:v>319.99689999999998</c:v>
                </c:pt>
                <c:pt idx="32">
                  <c:v>318.07859999999999</c:v>
                </c:pt>
                <c:pt idx="33">
                  <c:v>316.16129999999998</c:v>
                </c:pt>
                <c:pt idx="34">
                  <c:v>314.24509999999998</c:v>
                </c:pt>
                <c:pt idx="35">
                  <c:v>312.33</c:v>
                </c:pt>
                <c:pt idx="36">
                  <c:v>310.41590000000002</c:v>
                </c:pt>
                <c:pt idx="37">
                  <c:v>308.50279999999998</c:v>
                </c:pt>
                <c:pt idx="38">
                  <c:v>306.59089999999998</c:v>
                </c:pt>
                <c:pt idx="39">
                  <c:v>304.68009999999998</c:v>
                </c:pt>
                <c:pt idx="40">
                  <c:v>302.77050000000003</c:v>
                </c:pt>
                <c:pt idx="41">
                  <c:v>300.8621</c:v>
                </c:pt>
                <c:pt idx="42">
                  <c:v>298.95479999999998</c:v>
                </c:pt>
                <c:pt idx="43">
                  <c:v>297.04880000000003</c:v>
                </c:pt>
                <c:pt idx="44">
                  <c:v>295.14400000000001</c:v>
                </c:pt>
                <c:pt idx="45">
                  <c:v>293.2405</c:v>
                </c:pt>
                <c:pt idx="46">
                  <c:v>291.3383</c:v>
                </c:pt>
                <c:pt idx="47">
                  <c:v>289.43740000000003</c:v>
                </c:pt>
                <c:pt idx="48">
                  <c:v>287.5378</c:v>
                </c:pt>
                <c:pt idx="49">
                  <c:v>285.63959999999997</c:v>
                </c:pt>
                <c:pt idx="50">
                  <c:v>283.74279999999999</c:v>
                </c:pt>
                <c:pt idx="51">
                  <c:v>281.84750000000003</c:v>
                </c:pt>
                <c:pt idx="52">
                  <c:v>279.95359999999999</c:v>
                </c:pt>
                <c:pt idx="53">
                  <c:v>278.06119999999999</c:v>
                </c:pt>
                <c:pt idx="54">
                  <c:v>276.17020000000002</c:v>
                </c:pt>
                <c:pt idx="55">
                  <c:v>274.28089999999997</c:v>
                </c:pt>
                <c:pt idx="56">
                  <c:v>272.3931</c:v>
                </c:pt>
                <c:pt idx="57">
                  <c:v>270.50689999999997</c:v>
                </c:pt>
                <c:pt idx="58">
                  <c:v>268.62240000000003</c:v>
                </c:pt>
                <c:pt idx="59">
                  <c:v>266.7396</c:v>
                </c:pt>
                <c:pt idx="60">
                  <c:v>264.85849999999999</c:v>
                </c:pt>
                <c:pt idx="61">
                  <c:v>262.97910000000002</c:v>
                </c:pt>
                <c:pt idx="62">
                  <c:v>261.10149999999999</c:v>
                </c:pt>
                <c:pt idx="63">
                  <c:v>259.22579999999999</c:v>
                </c:pt>
                <c:pt idx="64">
                  <c:v>257.3519</c:v>
                </c:pt>
                <c:pt idx="65">
                  <c:v>255.47989999999999</c:v>
                </c:pt>
                <c:pt idx="66">
                  <c:v>253.60990000000001</c:v>
                </c:pt>
                <c:pt idx="67">
                  <c:v>251.74189999999999</c:v>
                </c:pt>
                <c:pt idx="68">
                  <c:v>249.876</c:v>
                </c:pt>
                <c:pt idx="69">
                  <c:v>248.0121</c:v>
                </c:pt>
                <c:pt idx="70">
                  <c:v>246.15039999999999</c:v>
                </c:pt>
                <c:pt idx="71">
                  <c:v>244.29079999999999</c:v>
                </c:pt>
                <c:pt idx="72">
                  <c:v>242.43350000000001</c:v>
                </c:pt>
                <c:pt idx="73">
                  <c:v>240.57849999999999</c:v>
                </c:pt>
                <c:pt idx="74">
                  <c:v>238.72579999999999</c:v>
                </c:pt>
                <c:pt idx="75">
                  <c:v>236.87549999999999</c:v>
                </c:pt>
                <c:pt idx="76">
                  <c:v>235.02770000000001</c:v>
                </c:pt>
                <c:pt idx="77">
                  <c:v>233.1823</c:v>
                </c:pt>
                <c:pt idx="78">
                  <c:v>231.33959999999999</c:v>
                </c:pt>
                <c:pt idx="79">
                  <c:v>229.49950000000001</c:v>
                </c:pt>
                <c:pt idx="80">
                  <c:v>227.66200000000001</c:v>
                </c:pt>
                <c:pt idx="81">
                  <c:v>225.82740000000001</c:v>
                </c:pt>
                <c:pt idx="82">
                  <c:v>223.99549999999999</c:v>
                </c:pt>
                <c:pt idx="83">
                  <c:v>222.16659999999999</c:v>
                </c:pt>
                <c:pt idx="84">
                  <c:v>220.3407</c:v>
                </c:pt>
                <c:pt idx="85">
                  <c:v>218.51769999999999</c:v>
                </c:pt>
                <c:pt idx="86">
                  <c:v>216.69800000000001</c:v>
                </c:pt>
                <c:pt idx="87">
                  <c:v>214.88140000000001</c:v>
                </c:pt>
                <c:pt idx="88">
                  <c:v>213.06809999999999</c:v>
                </c:pt>
                <c:pt idx="89">
                  <c:v>211.25810000000001</c:v>
                </c:pt>
                <c:pt idx="90">
                  <c:v>209.45169999999999</c:v>
                </c:pt>
                <c:pt idx="91">
                  <c:v>207.64869999999999</c:v>
                </c:pt>
                <c:pt idx="92">
                  <c:v>205.84950000000001</c:v>
                </c:pt>
                <c:pt idx="93">
                  <c:v>204.0539</c:v>
                </c:pt>
                <c:pt idx="94">
                  <c:v>202.26220000000001</c:v>
                </c:pt>
                <c:pt idx="95">
                  <c:v>200.4744</c:v>
                </c:pt>
                <c:pt idx="96">
                  <c:v>198.69069999999999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C-4928-98E4-EF92E3426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103855"/>
        <c:axId val="723098575"/>
      </c:lineChart>
      <c:catAx>
        <c:axId val="72310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height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3098575"/>
        <c:crosses val="autoZero"/>
        <c:auto val="1"/>
        <c:lblAlgn val="ctr"/>
        <c:lblOffset val="100"/>
        <c:noMultiLvlLbl val="0"/>
      </c:catAx>
      <c:valAx>
        <c:axId val="72309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cable length</a:t>
                </a:r>
                <a:r>
                  <a:rPr lang="fr-FR" baseline="0"/>
                  <a:t>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310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274320</xdr:colOff>
      <xdr:row>12</xdr:row>
      <xdr:rowOff>11430</xdr:rowOff>
    </xdr:from>
    <xdr:to>
      <xdr:col>100</xdr:col>
      <xdr:colOff>320820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EF281-AD77-A14C-B472-D7670154B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259080</xdr:colOff>
      <xdr:row>11</xdr:row>
      <xdr:rowOff>171450</xdr:rowOff>
    </xdr:from>
    <xdr:to>
      <xdr:col>101</xdr:col>
      <xdr:colOff>237000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48A72-CA6B-F87C-1C30-5189F4494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</xdr:colOff>
      <xdr:row>0</xdr:row>
      <xdr:rowOff>163830</xdr:rowOff>
    </xdr:from>
    <xdr:to>
      <xdr:col>25</xdr:col>
      <xdr:colOff>578220</xdr:colOff>
      <xdr:row>15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C4CEB0-9302-222D-5FFD-22C26117D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45720</xdr:colOff>
      <xdr:row>0</xdr:row>
      <xdr:rowOff>140970</xdr:rowOff>
    </xdr:from>
    <xdr:to>
      <xdr:col>37</xdr:col>
      <xdr:colOff>540120</xdr:colOff>
      <xdr:row>15</xdr:row>
      <xdr:rowOff>140970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D55378-5765-CDAB-1323-E01632A39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83820</xdr:colOff>
      <xdr:row>16</xdr:row>
      <xdr:rowOff>26670</xdr:rowOff>
    </xdr:from>
    <xdr:to>
      <xdr:col>25</xdr:col>
      <xdr:colOff>578220</xdr:colOff>
      <xdr:row>31</xdr:row>
      <xdr:rowOff>26670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964E8D-51F9-FB50-E7FE-9B6A871B3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83820</xdr:colOff>
      <xdr:row>31</xdr:row>
      <xdr:rowOff>41910</xdr:rowOff>
    </xdr:from>
    <xdr:to>
      <xdr:col>25</xdr:col>
      <xdr:colOff>578220</xdr:colOff>
      <xdr:row>46</xdr:row>
      <xdr:rowOff>41910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633869-88D8-9F64-C246-97DFBC807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83820</xdr:colOff>
      <xdr:row>46</xdr:row>
      <xdr:rowOff>57150</xdr:rowOff>
    </xdr:from>
    <xdr:to>
      <xdr:col>25</xdr:col>
      <xdr:colOff>578220</xdr:colOff>
      <xdr:row>61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936847-4EAA-9CC2-C387-825CF0A61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17</xdr:row>
      <xdr:rowOff>19050</xdr:rowOff>
    </xdr:from>
    <xdr:to>
      <xdr:col>13</xdr:col>
      <xdr:colOff>602760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D2479-20CB-63D1-F380-87023DC3A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</xdr:colOff>
      <xdr:row>17</xdr:row>
      <xdr:rowOff>19050</xdr:rowOff>
    </xdr:from>
    <xdr:to>
      <xdr:col>25</xdr:col>
      <xdr:colOff>168420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879D0D-E7E7-2DA6-34C9-B1CEF9D35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16</xdr:row>
      <xdr:rowOff>110490</xdr:rowOff>
    </xdr:from>
    <xdr:to>
      <xdr:col>17</xdr:col>
      <xdr:colOff>54120</xdr:colOff>
      <xdr:row>31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0CE00-258E-F492-9010-1A4D2FB1C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68580</xdr:colOff>
      <xdr:row>15</xdr:row>
      <xdr:rowOff>95250</xdr:rowOff>
    </xdr:from>
    <xdr:to>
      <xdr:col>30</xdr:col>
      <xdr:colOff>183660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FEB248-FD13-C0A9-9796-9B8DA4AF3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11</xdr:row>
      <xdr:rowOff>64770</xdr:rowOff>
    </xdr:from>
    <xdr:to>
      <xdr:col>11</xdr:col>
      <xdr:colOff>251460</xdr:colOff>
      <xdr:row>26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E3304-5889-281A-BC2D-27740BA0B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670560</xdr:colOff>
      <xdr:row>18</xdr:row>
      <xdr:rowOff>72390</xdr:rowOff>
    </xdr:from>
    <xdr:to>
      <xdr:col>97</xdr:col>
      <xdr:colOff>785640</xdr:colOff>
      <xdr:row>33</xdr:row>
      <xdr:rowOff>72390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2B3595-09FC-46EF-5AA8-4D5B45D7F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16</xdr:row>
      <xdr:rowOff>57150</xdr:rowOff>
    </xdr:from>
    <xdr:to>
      <xdr:col>11</xdr:col>
      <xdr:colOff>785640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7F1EF-1AA7-94E9-F2CB-EE809906B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17</xdr:row>
      <xdr:rowOff>11430</xdr:rowOff>
    </xdr:from>
    <xdr:to>
      <xdr:col>16</xdr:col>
      <xdr:colOff>99840</xdr:colOff>
      <xdr:row>43</xdr:row>
      <xdr:rowOff>130950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74B73-0BFF-D91E-8A45-115F1DD17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22860</xdr:colOff>
      <xdr:row>15</xdr:row>
      <xdr:rowOff>41910</xdr:rowOff>
    </xdr:from>
    <xdr:to>
      <xdr:col>31</xdr:col>
      <xdr:colOff>137940</xdr:colOff>
      <xdr:row>30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43F72-D132-72D1-C3D5-7858320EC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0675CF2-42F2-4D8D-8EB2-AACC6B4529D6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A92ADFF0-1C80-4AFF-A3E2-799A5DF76861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4E93012A-3DD9-4526-BD2E-EFC1CB7B3C60}" autoFormatId="16" applyNumberFormats="0" applyBorderFormats="0" applyFontFormats="0" applyPatternFormats="0" applyAlignmentFormats="0" applyWidthHeightFormats="0">
  <queryTableRefresh nextId="102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63A80390-E30C-4559-80AA-0A4237361861}" autoFormatId="16" applyNumberFormats="0" applyBorderFormats="0" applyFontFormats="0" applyPatternFormats="0" applyAlignmentFormats="0" applyWidthHeightFormats="0">
  <queryTableRefresh nextId="102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29044FD7-70BA-41BE-BDB5-8DA43269DCB1}" autoFormatId="16" applyNumberFormats="0" applyBorderFormats="0" applyFontFormats="0" applyPatternFormats="0" applyAlignmentFormats="0" applyWidthHeightFormats="0">
  <queryTableRefresh nextId="102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4BD0EDB-94E0-46EA-AD3D-140D610A8820}" autoFormatId="16" applyNumberFormats="0" applyBorderFormats="0" applyFontFormats="0" applyPatternFormats="0" applyAlignmentFormats="0" applyWidthHeightFormats="0">
  <queryTableRefresh nextId="101">
    <queryTableFields count="10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7092F9-9762-4413-9BFB-B7DB4726B93B}" autoFormatId="16" applyNumberFormats="0" applyBorderFormats="0" applyFontFormats="0" applyPatternFormats="0" applyAlignmentFormats="0" applyWidthHeightFormats="0">
  <queryTableRefresh nextId="101">
    <queryTableFields count="10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554704-9F25-45CB-BB33-4621BE3FF33E}" autoFormatId="16" applyNumberFormats="0" applyBorderFormats="0" applyFontFormats="0" applyPatternFormats="0" applyAlignmentFormats="0" applyWidthHeightFormats="0">
  <queryTableRefresh nextId="1001">
    <queryTableFields count="100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5E95EF-0110-4ABC-84ED-CB878D5B8490}" name="rollMovement2" displayName="rollMovement2" ref="A1:CX8" tableType="queryTable" totalsRowCount="1">
  <autoFilter ref="A1:CX7" xr:uid="{005E95EF-0110-4ABC-84ED-CB878D5B8490}"/>
  <tableColumns count="102">
    <tableColumn id="1" xr3:uid="{9C8E2E41-5E31-4300-AA80-FADCC570BD7A}" uniqueName="1" name="Column1" totalsRowFunction="custom" queryTableFieldId="1" dataDxfId="3210" totalsRowDxfId="3209">
      <totalsRowFormula>-A7*1</totalsRowFormula>
    </tableColumn>
    <tableColumn id="2" xr3:uid="{F45B7D7E-3FF6-4F25-97D9-D0A8E57191F0}" uniqueName="2" name="Column2" totalsRowFunction="custom" queryTableFieldId="2" dataDxfId="3208" totalsRowDxfId="3207">
      <totalsRowFormula>-B7*1</totalsRowFormula>
    </tableColumn>
    <tableColumn id="3" xr3:uid="{77C1D7D2-B0D1-4F8D-8876-EF067AA82071}" uniqueName="3" name="Column3" totalsRowFunction="custom" queryTableFieldId="3" dataDxfId="3206" totalsRowDxfId="3205">
      <totalsRowFormula>-C7*1</totalsRowFormula>
    </tableColumn>
    <tableColumn id="4" xr3:uid="{9D91C2E6-8C8C-4230-9CC0-D261F6B985B9}" uniqueName="4" name="Column4" totalsRowFunction="custom" queryTableFieldId="4" dataDxfId="3204" totalsRowDxfId="3203">
      <totalsRowFormula>-D7*1</totalsRowFormula>
    </tableColumn>
    <tableColumn id="5" xr3:uid="{D7421EF4-0FBE-42C9-9C75-B49682C52DF3}" uniqueName="5" name="Column5" totalsRowFunction="custom" queryTableFieldId="5" dataDxfId="3202" totalsRowDxfId="3201">
      <totalsRowFormula>-E7*1</totalsRowFormula>
    </tableColumn>
    <tableColumn id="6" xr3:uid="{2F18E988-2420-402B-8E82-D7B7D6E52A10}" uniqueName="6" name="Column6" totalsRowFunction="custom" queryTableFieldId="6" dataDxfId="3200" totalsRowDxfId="3199">
      <totalsRowFormula>-F7*1</totalsRowFormula>
    </tableColumn>
    <tableColumn id="7" xr3:uid="{7FD12F86-58F2-4F3E-834A-4CEDC545F126}" uniqueName="7" name="Column7" totalsRowFunction="custom" queryTableFieldId="7" dataDxfId="3198" totalsRowDxfId="3197">
      <totalsRowFormula>-G7*1</totalsRowFormula>
    </tableColumn>
    <tableColumn id="8" xr3:uid="{9DDCC94B-E04C-4C2F-8E1E-F29007E389CC}" uniqueName="8" name="Column8" totalsRowFunction="custom" queryTableFieldId="8" dataDxfId="3196" totalsRowDxfId="3195">
      <totalsRowFormula>-H7*1</totalsRowFormula>
    </tableColumn>
    <tableColumn id="9" xr3:uid="{65FCED76-645D-4FA3-9D08-C521071798F2}" uniqueName="9" name="Column9" totalsRowFunction="custom" queryTableFieldId="9" dataDxfId="3194" totalsRowDxfId="3193">
      <totalsRowFormula>-I7*1</totalsRowFormula>
    </tableColumn>
    <tableColumn id="10" xr3:uid="{FAE0ABFF-ACB6-4532-9EAE-53DEACFA4804}" uniqueName="10" name="Column10" totalsRowFunction="custom" queryTableFieldId="10" dataDxfId="3192" totalsRowDxfId="3191">
      <totalsRowFormula>-J7*1</totalsRowFormula>
    </tableColumn>
    <tableColumn id="11" xr3:uid="{ACA305F9-5E83-4558-A64E-59AD118D87A4}" uniqueName="11" name="Column11" totalsRowFunction="custom" queryTableFieldId="11" dataDxfId="3190" totalsRowDxfId="3189">
      <totalsRowFormula>-K7*1</totalsRowFormula>
    </tableColumn>
    <tableColumn id="12" xr3:uid="{FA4096A6-8A43-48BE-8D4F-059C48DD01B7}" uniqueName="12" name="Column12" totalsRowFunction="custom" queryTableFieldId="12" dataDxfId="3188" totalsRowDxfId="3187">
      <totalsRowFormula>-L7*1</totalsRowFormula>
    </tableColumn>
    <tableColumn id="13" xr3:uid="{489D2AB8-3DDF-4203-BFFF-956BE4900520}" uniqueName="13" name="Column13" totalsRowFunction="custom" queryTableFieldId="13" dataDxfId="3186" totalsRowDxfId="3185">
      <totalsRowFormula>-M7*1</totalsRowFormula>
    </tableColumn>
    <tableColumn id="14" xr3:uid="{6DBA4B9D-FAD4-43FB-AA41-5FC464720B91}" uniqueName="14" name="Column14" totalsRowFunction="custom" queryTableFieldId="14" dataDxfId="3184" totalsRowDxfId="3183">
      <totalsRowFormula>-N7*1</totalsRowFormula>
    </tableColumn>
    <tableColumn id="15" xr3:uid="{F31BA434-027D-4000-A39C-28F184C46C6D}" uniqueName="15" name="Column15" totalsRowFunction="custom" queryTableFieldId="15" dataDxfId="3182" totalsRowDxfId="3181">
      <totalsRowFormula>-O7*1</totalsRowFormula>
    </tableColumn>
    <tableColumn id="16" xr3:uid="{E8007884-1A83-40DB-B146-EFB45D334589}" uniqueName="16" name="Column16" totalsRowFunction="custom" queryTableFieldId="16" dataDxfId="3180" totalsRowDxfId="3179">
      <totalsRowFormula>-P7*1</totalsRowFormula>
    </tableColumn>
    <tableColumn id="17" xr3:uid="{42325944-94B9-4CA6-866A-B205AD0A7A63}" uniqueName="17" name="Column17" totalsRowFunction="custom" queryTableFieldId="17" dataDxfId="3178" totalsRowDxfId="3177">
      <totalsRowFormula>-Q7*1</totalsRowFormula>
    </tableColumn>
    <tableColumn id="18" xr3:uid="{4BE4A08C-91DB-4C30-A601-701A9C936A86}" uniqueName="18" name="Column18" totalsRowFunction="custom" queryTableFieldId="18" dataDxfId="3176" totalsRowDxfId="3175">
      <totalsRowFormula>-R7*1</totalsRowFormula>
    </tableColumn>
    <tableColumn id="19" xr3:uid="{71C82704-2106-4C09-863E-D047876208F9}" uniqueName="19" name="Column19" totalsRowFunction="custom" queryTableFieldId="19" dataDxfId="3174" totalsRowDxfId="3173">
      <totalsRowFormula>-S7*1</totalsRowFormula>
    </tableColumn>
    <tableColumn id="20" xr3:uid="{961E905E-16C5-4354-8782-2904734A98F3}" uniqueName="20" name="Column20" totalsRowFunction="custom" queryTableFieldId="20" dataDxfId="3172" totalsRowDxfId="3171">
      <totalsRowFormula>-T7*1</totalsRowFormula>
    </tableColumn>
    <tableColumn id="21" xr3:uid="{6921CF56-15F4-4225-AA44-B764C444961B}" uniqueName="21" name="Column21" totalsRowFunction="custom" queryTableFieldId="21" dataDxfId="3170" totalsRowDxfId="3169">
      <totalsRowFormula>-U7*1</totalsRowFormula>
    </tableColumn>
    <tableColumn id="22" xr3:uid="{241CAFB3-20C2-4E0E-ACA9-E26FAFE02EE4}" uniqueName="22" name="Column22" totalsRowFunction="custom" queryTableFieldId="22" dataDxfId="3168" totalsRowDxfId="3167">
      <totalsRowFormula>-V7*1</totalsRowFormula>
    </tableColumn>
    <tableColumn id="23" xr3:uid="{84D852B1-3DF6-4166-BC3C-3DA9C8CF7D49}" uniqueName="23" name="Column23" totalsRowFunction="custom" queryTableFieldId="23" dataDxfId="3166" totalsRowDxfId="3165">
      <totalsRowFormula>-W7*1</totalsRowFormula>
    </tableColumn>
    <tableColumn id="24" xr3:uid="{295B5457-CC76-4F36-BD42-25DCC1B6D637}" uniqueName="24" name="Column24" totalsRowFunction="custom" queryTableFieldId="24" dataDxfId="3164" totalsRowDxfId="3163">
      <totalsRowFormula>-X7*1</totalsRowFormula>
    </tableColumn>
    <tableColumn id="25" xr3:uid="{68D05D85-C84F-4DCD-AACE-31BDAC35D46A}" uniqueName="25" name="Column25" totalsRowFunction="custom" queryTableFieldId="25" dataDxfId="3162" totalsRowDxfId="3161">
      <totalsRowFormula>-Y7*1</totalsRowFormula>
    </tableColumn>
    <tableColumn id="26" xr3:uid="{786236D1-C6E1-4A73-97B7-5456BF6450A7}" uniqueName="26" name="Column26" totalsRowFunction="custom" queryTableFieldId="26" dataDxfId="3160" totalsRowDxfId="3159">
      <totalsRowFormula>-Z7*1</totalsRowFormula>
    </tableColumn>
    <tableColumn id="27" xr3:uid="{AE86A492-0249-4418-9A55-1697C96B52D4}" uniqueName="27" name="Column27" totalsRowFunction="custom" queryTableFieldId="27" dataDxfId="3158" totalsRowDxfId="3157">
      <totalsRowFormula>-AA7*1</totalsRowFormula>
    </tableColumn>
    <tableColumn id="28" xr3:uid="{D6275F11-5E23-40CC-BF2E-D1EE85C52A5F}" uniqueName="28" name="Column28" totalsRowFunction="custom" queryTableFieldId="28" dataDxfId="3156" totalsRowDxfId="3155">
      <totalsRowFormula>-AB7*1</totalsRowFormula>
    </tableColumn>
    <tableColumn id="29" xr3:uid="{FEF6CD09-FE29-4726-B368-42D537D04EAE}" uniqueName="29" name="Column29" totalsRowFunction="custom" queryTableFieldId="29" dataDxfId="3154" totalsRowDxfId="3153">
      <totalsRowFormula>-AC7*1</totalsRowFormula>
    </tableColumn>
    <tableColumn id="30" xr3:uid="{E9E2C2CA-D655-4DB3-B1BF-080593A26159}" uniqueName="30" name="Column30" totalsRowFunction="custom" queryTableFieldId="30" dataDxfId="3152" totalsRowDxfId="3151">
      <totalsRowFormula>-AD7*1</totalsRowFormula>
    </tableColumn>
    <tableColumn id="31" xr3:uid="{B0155F52-7767-4D1B-9577-7BA0CEA05A92}" uniqueName="31" name="Column31" totalsRowFunction="custom" queryTableFieldId="31" dataDxfId="3150" totalsRowDxfId="3149">
      <totalsRowFormula>-AE7*1</totalsRowFormula>
    </tableColumn>
    <tableColumn id="32" xr3:uid="{50D7A0F0-986E-46F1-B652-DEC43D70775A}" uniqueName="32" name="Column32" totalsRowFunction="custom" queryTableFieldId="32" dataDxfId="3148" totalsRowDxfId="3147">
      <totalsRowFormula>-AF7*1</totalsRowFormula>
    </tableColumn>
    <tableColumn id="33" xr3:uid="{DFD309CA-2912-4B0B-BF75-C34694F5D946}" uniqueName="33" name="Column33" totalsRowFunction="custom" queryTableFieldId="33" dataDxfId="3146" totalsRowDxfId="3145">
      <totalsRowFormula>-AG7*1</totalsRowFormula>
    </tableColumn>
    <tableColumn id="34" xr3:uid="{56E27A83-74F7-49B9-911B-BDCCC9E6AF45}" uniqueName="34" name="Column34" totalsRowFunction="custom" queryTableFieldId="34" dataDxfId="3144" totalsRowDxfId="3143">
      <totalsRowFormula>-AH7*1</totalsRowFormula>
    </tableColumn>
    <tableColumn id="35" xr3:uid="{636AA280-413E-4E4F-A83F-FB876D07123B}" uniqueName="35" name="Column35" totalsRowFunction="custom" queryTableFieldId="35" dataDxfId="3142" totalsRowDxfId="3141">
      <totalsRowFormula>-AI7*1</totalsRowFormula>
    </tableColumn>
    <tableColumn id="36" xr3:uid="{877E0F56-BC86-44A9-9285-1493EC254A40}" uniqueName="36" name="Column36" totalsRowFunction="custom" queryTableFieldId="36" dataDxfId="3140" totalsRowDxfId="3139">
      <totalsRowFormula>-AJ7*1</totalsRowFormula>
    </tableColumn>
    <tableColumn id="37" xr3:uid="{AE2A4C9A-A091-402D-A584-1D79DABB619D}" uniqueName="37" name="Column37" totalsRowFunction="custom" queryTableFieldId="37" dataDxfId="3138" totalsRowDxfId="3137">
      <totalsRowFormula>-AK7*1</totalsRowFormula>
    </tableColumn>
    <tableColumn id="38" xr3:uid="{7F25BC08-DED0-45BC-BFB0-9C30C15590ED}" uniqueName="38" name="Column38" totalsRowFunction="custom" queryTableFieldId="38" dataDxfId="3136" totalsRowDxfId="3135">
      <totalsRowFormula>-AL7*1</totalsRowFormula>
    </tableColumn>
    <tableColumn id="39" xr3:uid="{5D2BE3A6-CF8D-44D2-B721-5634A730ECBC}" uniqueName="39" name="Column39" totalsRowFunction="custom" queryTableFieldId="39" dataDxfId="3134" totalsRowDxfId="3133">
      <totalsRowFormula>-AM7*1</totalsRowFormula>
    </tableColumn>
    <tableColumn id="40" xr3:uid="{9BBE43C8-D11D-4E3C-B89A-B3DAE886114B}" uniqueName="40" name="Column40" totalsRowFunction="custom" queryTableFieldId="40" dataDxfId="3132" totalsRowDxfId="3131">
      <totalsRowFormula>-AN7*1</totalsRowFormula>
    </tableColumn>
    <tableColumn id="41" xr3:uid="{06B089D0-85AB-4617-B091-AA381275CED1}" uniqueName="41" name="Column41" totalsRowFunction="custom" queryTableFieldId="41" dataDxfId="3130" totalsRowDxfId="3129">
      <totalsRowFormula>-AO7*1</totalsRowFormula>
    </tableColumn>
    <tableColumn id="42" xr3:uid="{DAE7A0AE-76CA-45F3-918E-9C2D6EEFE61E}" uniqueName="42" name="Column42" totalsRowFunction="custom" queryTableFieldId="42" dataDxfId="3128" totalsRowDxfId="3127">
      <totalsRowFormula>-AP7*1</totalsRowFormula>
    </tableColumn>
    <tableColumn id="43" xr3:uid="{CD2D69D2-0BF1-40CF-B286-616A23E2D8B8}" uniqueName="43" name="Column43" totalsRowFunction="custom" queryTableFieldId="43" dataDxfId="3126" totalsRowDxfId="3125">
      <totalsRowFormula>-AQ7*1</totalsRowFormula>
    </tableColumn>
    <tableColumn id="44" xr3:uid="{198A5989-7A28-4E32-AA2F-1A5B5E2FE953}" uniqueName="44" name="Column44" totalsRowFunction="custom" queryTableFieldId="44" dataDxfId="3124" totalsRowDxfId="3123">
      <totalsRowFormula>-AR7*1</totalsRowFormula>
    </tableColumn>
    <tableColumn id="45" xr3:uid="{6C42023C-05EE-45A0-9E3F-3277FD6718F1}" uniqueName="45" name="Column45" totalsRowFunction="custom" queryTableFieldId="45" dataDxfId="3122" totalsRowDxfId="3121">
      <totalsRowFormula>-AS7*1</totalsRowFormula>
    </tableColumn>
    <tableColumn id="46" xr3:uid="{C3D520EF-ED6E-42A8-9253-300C94087B5B}" uniqueName="46" name="Column46" totalsRowFunction="custom" queryTableFieldId="46" dataDxfId="3120" totalsRowDxfId="3119">
      <totalsRowFormula>-AT7*1</totalsRowFormula>
    </tableColumn>
    <tableColumn id="47" xr3:uid="{7B708DE0-EC9E-4477-86B4-12B5FC2221A0}" uniqueName="47" name="Column47" totalsRowFunction="custom" queryTableFieldId="47" dataDxfId="3118" totalsRowDxfId="3117">
      <totalsRowFormula>-AU7*1</totalsRowFormula>
    </tableColumn>
    <tableColumn id="48" xr3:uid="{BAC6EAEF-160C-4FD3-9903-2976B19105E7}" uniqueName="48" name="Column48" totalsRowFunction="custom" queryTableFieldId="48" dataDxfId="3116" totalsRowDxfId="3115">
      <totalsRowFormula>-AV7*1</totalsRowFormula>
    </tableColumn>
    <tableColumn id="49" xr3:uid="{B7C3D689-C847-43C4-B1BD-82E4FEE49731}" uniqueName="49" name="Column49" totalsRowFunction="custom" queryTableFieldId="49" dataDxfId="3114" totalsRowDxfId="3113">
      <totalsRowFormula>-AW7*1</totalsRowFormula>
    </tableColumn>
    <tableColumn id="50" xr3:uid="{4C0D7333-D832-4990-95FE-F38F9BBD49CD}" uniqueName="50" name="Column50" totalsRowFunction="custom" queryTableFieldId="50" dataDxfId="3112" totalsRowDxfId="3111">
      <totalsRowFormula>-AX7*1</totalsRowFormula>
    </tableColumn>
    <tableColumn id="51" xr3:uid="{08450BA2-AD04-4703-AA3A-DA40312599A7}" uniqueName="51" name="Column51" totalsRowFunction="custom" queryTableFieldId="51" dataDxfId="3110" totalsRowDxfId="3109">
      <totalsRowFormula>-AY7*1</totalsRowFormula>
    </tableColumn>
    <tableColumn id="52" xr3:uid="{B07AF92F-5C03-4845-8188-174307A2F837}" uniqueName="52" name="Column52" totalsRowFunction="custom" queryTableFieldId="52" dataDxfId="3108" totalsRowDxfId="3107">
      <totalsRowFormula>-AZ7+360</totalsRowFormula>
    </tableColumn>
    <tableColumn id="53" xr3:uid="{392245E5-376B-46E2-B123-1DCAAC7BE557}" uniqueName="53" name="Column53" totalsRowFunction="custom" queryTableFieldId="53" dataDxfId="3106" totalsRowDxfId="3105">
      <totalsRowFormula>-BA7+360</totalsRowFormula>
    </tableColumn>
    <tableColumn id="54" xr3:uid="{D2BFB4E2-E2F1-4D0F-A1F1-260CE512A9D6}" uniqueName="54" name="Column54" totalsRowFunction="custom" queryTableFieldId="54" dataDxfId="3104" totalsRowDxfId="3103">
      <totalsRowFormula>-BB7+360</totalsRowFormula>
    </tableColumn>
    <tableColumn id="55" xr3:uid="{A2685279-FF08-46AC-85B5-6F4CBD21A971}" uniqueName="55" name="Column55" totalsRowFunction="custom" queryTableFieldId="55" dataDxfId="3102" totalsRowDxfId="3101">
      <totalsRowFormula>-BC7+360</totalsRowFormula>
    </tableColumn>
    <tableColumn id="56" xr3:uid="{999F2965-1EF1-4D0F-B8FC-612AFC389FD9}" uniqueName="56" name="Column56" totalsRowFunction="custom" queryTableFieldId="56" dataDxfId="3100" totalsRowDxfId="3099">
      <totalsRowFormula>-BD7+360</totalsRowFormula>
    </tableColumn>
    <tableColumn id="57" xr3:uid="{6CD47035-8F6A-4DC8-B881-4A0E1A03BBFF}" uniqueName="57" name="Column57" totalsRowFunction="custom" queryTableFieldId="57" dataDxfId="3098" totalsRowDxfId="3097">
      <totalsRowFormula>-BE7+360</totalsRowFormula>
    </tableColumn>
    <tableColumn id="58" xr3:uid="{A78AAF12-3E6E-4CCC-8A7A-028E36C4649B}" uniqueName="58" name="Column58" totalsRowFunction="custom" queryTableFieldId="58" dataDxfId="3096" totalsRowDxfId="3095">
      <totalsRowFormula>-BF7+360</totalsRowFormula>
    </tableColumn>
    <tableColumn id="59" xr3:uid="{B891AC94-6A59-450B-8550-B0ABE1FCB623}" uniqueName="59" name="Column59" totalsRowFunction="custom" queryTableFieldId="59" dataDxfId="3094" totalsRowDxfId="3093">
      <totalsRowFormula>-BG7+360</totalsRowFormula>
    </tableColumn>
    <tableColumn id="60" xr3:uid="{DD9D81C4-43FF-4E3A-8F6B-85701BBE1A27}" uniqueName="60" name="Column60" totalsRowFunction="custom" queryTableFieldId="60" dataDxfId="3092" totalsRowDxfId="3091">
      <totalsRowFormula>-BH7+360</totalsRowFormula>
    </tableColumn>
    <tableColumn id="61" xr3:uid="{3FFE541C-E98E-4C28-8C84-E3CA3DD4C68D}" uniqueName="61" name="Column61" totalsRowFunction="custom" queryTableFieldId="61" dataDxfId="3090" totalsRowDxfId="3089">
      <totalsRowFormula>-BI7+360</totalsRowFormula>
    </tableColumn>
    <tableColumn id="62" xr3:uid="{491FE494-6AB0-4046-9424-537B22DE6C25}" uniqueName="62" name="Column62" totalsRowFunction="custom" queryTableFieldId="62" dataDxfId="3088" totalsRowDxfId="3087">
      <totalsRowFormula>-BJ7+360</totalsRowFormula>
    </tableColumn>
    <tableColumn id="63" xr3:uid="{E12DB0CA-3061-4719-AE9D-EE35A65A1856}" uniqueName="63" name="Column63" totalsRowFunction="custom" queryTableFieldId="63" dataDxfId="3086" totalsRowDxfId="3085">
      <totalsRowFormula>-BK7+360</totalsRowFormula>
    </tableColumn>
    <tableColumn id="64" xr3:uid="{8359B9CD-0651-44C8-924F-673E0F31B321}" uniqueName="64" name="Column64" totalsRowFunction="custom" queryTableFieldId="64" dataDxfId="3084" totalsRowDxfId="3083">
      <totalsRowFormula>-BL7+360</totalsRowFormula>
    </tableColumn>
    <tableColumn id="65" xr3:uid="{19DF644C-3D76-47EA-97BB-987B25453456}" uniqueName="65" name="Column65" totalsRowFunction="custom" queryTableFieldId="65" dataDxfId="3082" totalsRowDxfId="3081">
      <totalsRowFormula>-BM7+360</totalsRowFormula>
    </tableColumn>
    <tableColumn id="66" xr3:uid="{DFFCB098-E569-400E-822E-B15F7767C248}" uniqueName="66" name="Column66" totalsRowFunction="custom" queryTableFieldId="66" dataDxfId="3080" totalsRowDxfId="3079">
      <totalsRowFormula>-BN7+360</totalsRowFormula>
    </tableColumn>
    <tableColumn id="67" xr3:uid="{C53678D6-CAFC-4874-8BC5-88BB73208930}" uniqueName="67" name="Column67" totalsRowFunction="custom" queryTableFieldId="67" dataDxfId="3078" totalsRowDxfId="3077">
      <totalsRowFormula>-BO7+360</totalsRowFormula>
    </tableColumn>
    <tableColumn id="68" xr3:uid="{1748B995-8368-4FC1-AC07-4B25CF56FE20}" uniqueName="68" name="Column68" totalsRowFunction="custom" queryTableFieldId="68" dataDxfId="3076" totalsRowDxfId="3075">
      <totalsRowFormula>-BP7+360</totalsRowFormula>
    </tableColumn>
    <tableColumn id="69" xr3:uid="{DF6A4459-A771-4517-AD2A-DDF3F57F65E5}" uniqueName="69" name="Column69" totalsRowFunction="custom" queryTableFieldId="69" dataDxfId="3074" totalsRowDxfId="3073">
      <totalsRowFormula>-BQ7+360</totalsRowFormula>
    </tableColumn>
    <tableColumn id="70" xr3:uid="{6DCA6BD0-85B6-40D0-BA36-158F47480874}" uniqueName="70" name="Column70" totalsRowFunction="custom" queryTableFieldId="70" dataDxfId="3072" totalsRowDxfId="3071">
      <totalsRowFormula>-BR7+360</totalsRowFormula>
    </tableColumn>
    <tableColumn id="71" xr3:uid="{59873EC9-7157-480A-AA86-A1C7D7B3027E}" uniqueName="71" name="Column71" totalsRowFunction="custom" queryTableFieldId="71" dataDxfId="3070" totalsRowDxfId="3069">
      <totalsRowFormula>-BS7+360</totalsRowFormula>
    </tableColumn>
    <tableColumn id="72" xr3:uid="{6CA97E40-9E2B-4CF5-A2F1-E49A656FDF16}" uniqueName="72" name="Column72" totalsRowFunction="custom" queryTableFieldId="72" dataDxfId="3068" totalsRowDxfId="3067">
      <totalsRowFormula>-BT7+360</totalsRowFormula>
    </tableColumn>
    <tableColumn id="73" xr3:uid="{20E3B7C2-D72B-4853-9004-E924FDE1F250}" uniqueName="73" name="Column73" totalsRowFunction="custom" queryTableFieldId="73" dataDxfId="3066" totalsRowDxfId="3065">
      <totalsRowFormula>-BU7+360</totalsRowFormula>
    </tableColumn>
    <tableColumn id="74" xr3:uid="{8971D853-524A-49AE-AAFF-1DD1F85E76E4}" uniqueName="74" name="Column74" totalsRowFunction="custom" queryTableFieldId="74" dataDxfId="3064" totalsRowDxfId="3063">
      <totalsRowFormula>-BV7+360</totalsRowFormula>
    </tableColumn>
    <tableColumn id="75" xr3:uid="{3E5F0C6B-1114-4BEF-8DE5-054562CE0105}" uniqueName="75" name="Column75" totalsRowFunction="custom" queryTableFieldId="75" dataDxfId="3062" totalsRowDxfId="3061">
      <totalsRowFormula>-BW7+360</totalsRowFormula>
    </tableColumn>
    <tableColumn id="76" xr3:uid="{410A7337-D85D-481B-AA06-EACB962940B8}" uniqueName="76" name="Column76" totalsRowFunction="custom" queryTableFieldId="76" dataDxfId="3060" totalsRowDxfId="3059">
      <totalsRowFormula>-BX7+360</totalsRowFormula>
    </tableColumn>
    <tableColumn id="77" xr3:uid="{1F5B8C42-7419-44C5-8205-05BA4D44055D}" uniqueName="77" name="Column77" totalsRowFunction="custom" queryTableFieldId="77" dataDxfId="3058" totalsRowDxfId="3057">
      <totalsRowFormula>-BY7+360</totalsRowFormula>
    </tableColumn>
    <tableColumn id="78" xr3:uid="{DBEE78C6-B174-4831-AF1D-2F160778770A}" uniqueName="78" name="Column78" totalsRowFunction="custom" queryTableFieldId="78" dataDxfId="3056" totalsRowDxfId="3055">
      <totalsRowFormula>-BZ7+360</totalsRowFormula>
    </tableColumn>
    <tableColumn id="79" xr3:uid="{1DE265A5-3D68-41D0-B0FE-54E41B473A13}" uniqueName="79" name="Column79" totalsRowFunction="custom" queryTableFieldId="79" dataDxfId="3054" totalsRowDxfId="3053">
      <totalsRowFormula>-CA7+360</totalsRowFormula>
    </tableColumn>
    <tableColumn id="80" xr3:uid="{E04CD29C-1CC5-4BAB-B376-4E38D6A66A07}" uniqueName="80" name="Column80" totalsRowFunction="custom" queryTableFieldId="80" dataDxfId="3052" totalsRowDxfId="3051">
      <totalsRowFormula>-CB7+360</totalsRowFormula>
    </tableColumn>
    <tableColumn id="81" xr3:uid="{0A8F1BBB-572D-4E11-BB5B-DC8ECCB98C0F}" uniqueName="81" name="Column81" totalsRowFunction="custom" queryTableFieldId="81" dataDxfId="3050" totalsRowDxfId="3049">
      <totalsRowFormula>-CC7+360</totalsRowFormula>
    </tableColumn>
    <tableColumn id="82" xr3:uid="{0B2F208D-1A16-4AB5-AF04-E558900C360D}" uniqueName="82" name="Column82" totalsRowFunction="custom" queryTableFieldId="82" dataDxfId="3048" totalsRowDxfId="3047">
      <totalsRowFormula>-CD7+360</totalsRowFormula>
    </tableColumn>
    <tableColumn id="83" xr3:uid="{F81C22D1-D524-4970-AA26-37179AF8ADC6}" uniqueName="83" name="Column83" totalsRowFunction="custom" queryTableFieldId="83" dataDxfId="3046" totalsRowDxfId="3045">
      <totalsRowFormula>-CE7+360</totalsRowFormula>
    </tableColumn>
    <tableColumn id="84" xr3:uid="{AE419A1D-B166-4E57-8C09-97AC3994A9DF}" uniqueName="84" name="Column84" totalsRowFunction="custom" queryTableFieldId="84" dataDxfId="3044" totalsRowDxfId="3043">
      <totalsRowFormula>-CF7+360</totalsRowFormula>
    </tableColumn>
    <tableColumn id="85" xr3:uid="{48B64428-2262-4C44-AC79-7A210DC3E184}" uniqueName="85" name="Column85" totalsRowFunction="custom" queryTableFieldId="85" dataDxfId="3042" totalsRowDxfId="3041">
      <totalsRowFormula>-CG7+360</totalsRowFormula>
    </tableColumn>
    <tableColumn id="86" xr3:uid="{E8C1A872-7F8F-4094-814F-382CF4C1E5DF}" uniqueName="86" name="Column86" totalsRowFunction="custom" queryTableFieldId="86" dataDxfId="3040" totalsRowDxfId="3039">
      <totalsRowFormula>-CH7+360</totalsRowFormula>
    </tableColumn>
    <tableColumn id="87" xr3:uid="{54545485-193A-4DC0-A804-2E5573F62600}" uniqueName="87" name="Column87" totalsRowFunction="custom" queryTableFieldId="87" dataDxfId="3038" totalsRowDxfId="3037">
      <totalsRowFormula>-CI7+360</totalsRowFormula>
    </tableColumn>
    <tableColumn id="88" xr3:uid="{F986CE68-5B68-4877-A858-78B0E266F92E}" uniqueName="88" name="Column88" totalsRowFunction="custom" queryTableFieldId="88" dataDxfId="3036" totalsRowDxfId="3035">
      <totalsRowFormula>-CJ7+360</totalsRowFormula>
    </tableColumn>
    <tableColumn id="89" xr3:uid="{1FDEAB64-19C6-426D-8F92-77233A279B45}" uniqueName="89" name="Column89" totalsRowFunction="custom" queryTableFieldId="89" dataDxfId="3034" totalsRowDxfId="3033">
      <totalsRowFormula>-CK7+360</totalsRowFormula>
    </tableColumn>
    <tableColumn id="90" xr3:uid="{934FCF2B-3ABC-4860-BA40-D1B651D4F390}" uniqueName="90" name="Column90" totalsRowFunction="custom" queryTableFieldId="90" dataDxfId="3032" totalsRowDxfId="3031">
      <totalsRowFormula>-CL7+360</totalsRowFormula>
    </tableColumn>
    <tableColumn id="91" xr3:uid="{9138B887-3E56-4F48-BF15-CE8895CDD297}" uniqueName="91" name="Column91" totalsRowFunction="custom" queryTableFieldId="91" dataDxfId="3030" totalsRowDxfId="3029">
      <totalsRowFormula>-CM7+360</totalsRowFormula>
    </tableColumn>
    <tableColumn id="92" xr3:uid="{3F5C86CC-9A1D-4FE9-ABE0-6F08D86036E1}" uniqueName="92" name="Column92" totalsRowFunction="custom" queryTableFieldId="92" dataDxfId="3028" totalsRowDxfId="3027">
      <totalsRowFormula>-CN7+360</totalsRowFormula>
    </tableColumn>
    <tableColumn id="93" xr3:uid="{FF8CC5D2-E239-4302-B26F-E0215A69345B}" uniqueName="93" name="Column93" totalsRowFunction="custom" queryTableFieldId="93" dataDxfId="3026" totalsRowDxfId="3025">
      <totalsRowFormula>-CO7+360</totalsRowFormula>
    </tableColumn>
    <tableColumn id="94" xr3:uid="{077A0C43-C1E9-49D8-A305-8DF431DD2FE2}" uniqueName="94" name="Column94" totalsRowFunction="custom" queryTableFieldId="94" dataDxfId="3024" totalsRowDxfId="3023">
      <totalsRowFormula>-CP7+360</totalsRowFormula>
    </tableColumn>
    <tableColumn id="95" xr3:uid="{6BD16737-1D99-42B7-AF09-1A81CA20D304}" uniqueName="95" name="Column95" totalsRowFunction="custom" queryTableFieldId="95" dataDxfId="3022" totalsRowDxfId="3021">
      <totalsRowFormula>-CQ7+360</totalsRowFormula>
    </tableColumn>
    <tableColumn id="96" xr3:uid="{4E2E590F-A9CA-454A-BC29-CA1B3FBCEF20}" uniqueName="96" name="Column96" totalsRowFunction="custom" queryTableFieldId="96" dataDxfId="3020" totalsRowDxfId="3019">
      <totalsRowFormula>-CR7+360</totalsRowFormula>
    </tableColumn>
    <tableColumn id="97" xr3:uid="{758B52FA-C674-4CD8-9FA5-41299D344FB2}" uniqueName="97" name="Column97" totalsRowFunction="custom" queryTableFieldId="97" dataDxfId="3018" totalsRowDxfId="3017">
      <totalsRowFormula>-CS7+360</totalsRowFormula>
    </tableColumn>
    <tableColumn id="98" xr3:uid="{9EFCCFC1-3455-429E-AE48-A299C32AC7DA}" uniqueName="98" name="Column98" totalsRowFunction="custom" queryTableFieldId="98" dataDxfId="3016" totalsRowDxfId="3015">
      <totalsRowFormula>-CT7+360</totalsRowFormula>
    </tableColumn>
    <tableColumn id="99" xr3:uid="{CD32143A-92AF-4DA1-9E7C-C321D6334290}" uniqueName="99" name="Column99" totalsRowFunction="custom" queryTableFieldId="99" dataDxfId="3014" totalsRowDxfId="3013">
      <totalsRowFormula>-CU7+360</totalsRowFormula>
    </tableColumn>
    <tableColumn id="100" xr3:uid="{FF70BFDA-92C9-464F-9798-ADA4C935209B}" uniqueName="100" name="Column100" totalsRowFunction="custom" queryTableFieldId="100" dataDxfId="3012" totalsRowDxfId="3011">
      <totalsRowFormula>-CV7+360</totalsRowFormula>
    </tableColumn>
    <tableColumn id="101" xr3:uid="{B7176825-2865-4A5D-8F39-777FFDF3CEA0}" uniqueName="101" name="Column101" totalsRowFunction="custom" queryTableFieldId="101" dataDxfId="3010" totalsRowDxfId="3009">
      <totalsRowFormula>-CW7+360</totalsRowFormula>
    </tableColumn>
    <tableColumn id="102" xr3:uid="{B9CF57E5-5DDD-40B8-AC46-AE2353E2323A}" uniqueName="102" name="Column102" queryTableFieldId="10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EAD926-8FF4-4E1A-A48D-DA64502CC1DE}" name="pitchMovement2" displayName="pitchMovement2" ref="A1:CX8" tableType="queryTable" totalsRowCount="1">
  <autoFilter ref="A1:CX7" xr:uid="{42EAD926-8FF4-4E1A-A48D-DA64502CC1DE}"/>
  <tableColumns count="102">
    <tableColumn id="1" xr3:uid="{3C4A21E3-A5F2-4653-A044-E7E807BAEC76}" uniqueName="1" name="Column1" totalsRowFunction="custom" queryTableFieldId="1" dataDxfId="3008" totalsRowDxfId="3007">
      <totalsRowFormula>A7-360</totalsRowFormula>
    </tableColumn>
    <tableColumn id="2" xr3:uid="{99DB345B-7D40-4336-BA5F-412E3676C66D}" uniqueName="2" name="Column2" totalsRowFunction="custom" queryTableFieldId="2" dataDxfId="3006" totalsRowDxfId="3005">
      <totalsRowFormula>B7-360</totalsRowFormula>
    </tableColumn>
    <tableColumn id="3" xr3:uid="{EC31318C-03A5-4B44-851B-5A1D3A95C761}" uniqueName="3" name="Column3" totalsRowFunction="custom" queryTableFieldId="3" dataDxfId="3004" totalsRowDxfId="3003">
      <totalsRowFormula>C7-360</totalsRowFormula>
    </tableColumn>
    <tableColumn id="4" xr3:uid="{CEE81158-B20B-4170-BEB4-021FD37F7254}" uniqueName="4" name="Column4" totalsRowFunction="custom" queryTableFieldId="4" dataDxfId="3002" totalsRowDxfId="3001">
      <totalsRowFormula>D7-360</totalsRowFormula>
    </tableColumn>
    <tableColumn id="5" xr3:uid="{EE4AD4EB-9706-4402-9EFA-4D2B305FFC74}" uniqueName="5" name="Column5" totalsRowFunction="custom" queryTableFieldId="5" dataDxfId="3000" totalsRowDxfId="2999">
      <totalsRowFormula>E7-360</totalsRowFormula>
    </tableColumn>
    <tableColumn id="6" xr3:uid="{E37B5F23-DBC3-4037-9F57-05586E883416}" uniqueName="6" name="Column6" totalsRowFunction="custom" queryTableFieldId="6" dataDxfId="2998" totalsRowDxfId="2997">
      <totalsRowFormula>F7-360</totalsRowFormula>
    </tableColumn>
    <tableColumn id="7" xr3:uid="{43141E2B-D9C1-48B3-87DA-04AF5C8AC4EA}" uniqueName="7" name="Column7" totalsRowFunction="custom" queryTableFieldId="7" dataDxfId="2996" totalsRowDxfId="2995">
      <totalsRowFormula>G7-360</totalsRowFormula>
    </tableColumn>
    <tableColumn id="8" xr3:uid="{3B559C5C-7DA8-4F6E-A564-BD050E730500}" uniqueName="8" name="Column8" totalsRowFunction="custom" queryTableFieldId="8" dataDxfId="2994" totalsRowDxfId="2993">
      <totalsRowFormula>H7-360</totalsRowFormula>
    </tableColumn>
    <tableColumn id="9" xr3:uid="{08D63DD4-17D0-4DF8-B6A0-2E51BC3DB189}" uniqueName="9" name="Column9" totalsRowFunction="custom" queryTableFieldId="9" dataDxfId="2992" totalsRowDxfId="2991">
      <totalsRowFormula>I7-360</totalsRowFormula>
    </tableColumn>
    <tableColumn id="10" xr3:uid="{8E42359C-BEEA-47DF-B492-7A7A34E989C1}" uniqueName="10" name="Column10" totalsRowFunction="custom" queryTableFieldId="10" dataDxfId="2990" totalsRowDxfId="2989">
      <totalsRowFormula>J7-360</totalsRowFormula>
    </tableColumn>
    <tableColumn id="11" xr3:uid="{E30A664F-3E7E-45AE-83BE-49DB61ABF2D1}" uniqueName="11" name="Column11" totalsRowFunction="custom" queryTableFieldId="11" dataDxfId="2988" totalsRowDxfId="2987">
      <totalsRowFormula>K7-360</totalsRowFormula>
    </tableColumn>
    <tableColumn id="12" xr3:uid="{0EF0E4F4-0FDD-4504-A234-04ECC0B7B7C2}" uniqueName="12" name="Column12" totalsRowFunction="custom" queryTableFieldId="12" dataDxfId="2986" totalsRowDxfId="2985">
      <totalsRowFormula>L7-360</totalsRowFormula>
    </tableColumn>
    <tableColumn id="13" xr3:uid="{73FEEB3D-982F-4906-AA70-7BE0D45C1064}" uniqueName="13" name="Column13" totalsRowFunction="custom" queryTableFieldId="13" dataDxfId="2984" totalsRowDxfId="2983">
      <totalsRowFormula>M7-360</totalsRowFormula>
    </tableColumn>
    <tableColumn id="14" xr3:uid="{3FEE4737-F5A9-4267-AB86-1E09C65781BD}" uniqueName="14" name="Column14" totalsRowFunction="custom" queryTableFieldId="14" dataDxfId="2982" totalsRowDxfId="2981">
      <totalsRowFormula>N7-360</totalsRowFormula>
    </tableColumn>
    <tableColumn id="15" xr3:uid="{B0F14E28-3D3B-4DB6-916D-FBC99F11D1B7}" uniqueName="15" name="Column15" totalsRowFunction="custom" queryTableFieldId="15" dataDxfId="2980" totalsRowDxfId="2979">
      <totalsRowFormula>O7-360</totalsRowFormula>
    </tableColumn>
    <tableColumn id="16" xr3:uid="{9C01E4DC-652A-4201-A53F-43ECCB718C6D}" uniqueName="16" name="Column16" totalsRowFunction="custom" queryTableFieldId="16" dataDxfId="2978" totalsRowDxfId="2977">
      <totalsRowFormula>P7-360</totalsRowFormula>
    </tableColumn>
    <tableColumn id="17" xr3:uid="{C1997808-F314-409B-B1F2-A0599F67C296}" uniqueName="17" name="Column17" totalsRowFunction="custom" queryTableFieldId="17" dataDxfId="2976" totalsRowDxfId="2975">
      <totalsRowFormula>Q7-360</totalsRowFormula>
    </tableColumn>
    <tableColumn id="18" xr3:uid="{F6AD7B5F-A317-41DF-AAA7-F4F175C69C9D}" uniqueName="18" name="Column18" totalsRowFunction="custom" queryTableFieldId="18" dataDxfId="2974" totalsRowDxfId="2973">
      <totalsRowFormula>R7-360</totalsRowFormula>
    </tableColumn>
    <tableColumn id="19" xr3:uid="{D84592F8-F8E1-4C03-AC0A-28263EC4505F}" uniqueName="19" name="Column19" totalsRowFunction="custom" queryTableFieldId="19" dataDxfId="2972" totalsRowDxfId="2971">
      <totalsRowFormula>S7-360</totalsRowFormula>
    </tableColumn>
    <tableColumn id="20" xr3:uid="{E2FD3510-1685-450B-8C9D-6A35D578A76E}" uniqueName="20" name="Column20" totalsRowFunction="custom" queryTableFieldId="20" dataDxfId="2970" totalsRowDxfId="2969">
      <totalsRowFormula>T7-360</totalsRowFormula>
    </tableColumn>
    <tableColumn id="21" xr3:uid="{26BDC9DC-5523-4EB2-BB3D-0DD70C325069}" uniqueName="21" name="Column21" totalsRowFunction="custom" queryTableFieldId="21" dataDxfId="2968" totalsRowDxfId="2967">
      <totalsRowFormula>U7-360</totalsRowFormula>
    </tableColumn>
    <tableColumn id="22" xr3:uid="{52F7EAD9-8B45-4E05-80CF-BF3EC0CDD03C}" uniqueName="22" name="Column22" totalsRowFunction="custom" queryTableFieldId="22" dataDxfId="2966" totalsRowDxfId="2965">
      <totalsRowFormula>V7-360</totalsRowFormula>
    </tableColumn>
    <tableColumn id="23" xr3:uid="{A8DC469A-9675-4E20-B71F-316D15405F84}" uniqueName="23" name="Column23" totalsRowFunction="custom" queryTableFieldId="23" dataDxfId="2964" totalsRowDxfId="2963">
      <totalsRowFormula>W7-360</totalsRowFormula>
    </tableColumn>
    <tableColumn id="24" xr3:uid="{B62A86FD-363D-45D3-99A6-EFE936E392EB}" uniqueName="24" name="Column24" totalsRowFunction="custom" queryTableFieldId="24" dataDxfId="2962" totalsRowDxfId="2961">
      <totalsRowFormula>X7-360</totalsRowFormula>
    </tableColumn>
    <tableColumn id="25" xr3:uid="{C299EF64-9A66-4269-B382-3E18BC27B355}" uniqueName="25" name="Column25" totalsRowFunction="custom" queryTableFieldId="25" dataDxfId="2960" totalsRowDxfId="2959">
      <totalsRowFormula>Y7-360</totalsRowFormula>
    </tableColumn>
    <tableColumn id="26" xr3:uid="{67D02B16-471D-4D38-8542-D834A65E1131}" uniqueName="26" name="Column26" totalsRowFunction="custom" queryTableFieldId="26" dataDxfId="2958" totalsRowDxfId="2957">
      <totalsRowFormula>Z7-360</totalsRowFormula>
    </tableColumn>
    <tableColumn id="27" xr3:uid="{9069A453-1140-49B1-9DB5-21FF24172970}" uniqueName="27" name="Column27" totalsRowFunction="custom" queryTableFieldId="27" dataDxfId="2956" totalsRowDxfId="2955">
      <totalsRowFormula>AA7-360</totalsRowFormula>
    </tableColumn>
    <tableColumn id="28" xr3:uid="{80A80A47-E756-4901-87FC-1BF5CFBE8317}" uniqueName="28" name="Column28" totalsRowFunction="custom" queryTableFieldId="28" dataDxfId="2954" totalsRowDxfId="2953">
      <totalsRowFormula>AB7-360</totalsRowFormula>
    </tableColumn>
    <tableColumn id="29" xr3:uid="{A34CCF03-C969-4A25-B5D9-B2BAB9BF7DB1}" uniqueName="29" name="Column29" totalsRowFunction="custom" queryTableFieldId="29" dataDxfId="2952" totalsRowDxfId="2951">
      <totalsRowFormula>AC7-360</totalsRowFormula>
    </tableColumn>
    <tableColumn id="30" xr3:uid="{1E9E9C58-50CC-4EB2-B2E9-C4F7AB985090}" uniqueName="30" name="Column30" totalsRowFunction="custom" queryTableFieldId="30" dataDxfId="2950" totalsRowDxfId="2949">
      <totalsRowFormula>AD7-360</totalsRowFormula>
    </tableColumn>
    <tableColumn id="31" xr3:uid="{57DD477D-04AC-4D3A-8C7E-33987E853C2B}" uniqueName="31" name="Column31" totalsRowFunction="custom" queryTableFieldId="31" dataDxfId="2948" totalsRowDxfId="2947">
      <totalsRowFormula>AE7-360</totalsRowFormula>
    </tableColumn>
    <tableColumn id="32" xr3:uid="{89FF54AE-A334-4676-B9D6-C069C7184D04}" uniqueName="32" name="Column32" totalsRowFunction="custom" queryTableFieldId="32" dataDxfId="2946" totalsRowDxfId="2945">
      <totalsRowFormula>AF7-360</totalsRowFormula>
    </tableColumn>
    <tableColumn id="33" xr3:uid="{A13F0EDC-B20D-4F3E-AC21-5654B75DBA6B}" uniqueName="33" name="Column33" totalsRowFunction="custom" queryTableFieldId="33" dataDxfId="2944" totalsRowDxfId="2943">
      <totalsRowFormula>AG7-360</totalsRowFormula>
    </tableColumn>
    <tableColumn id="34" xr3:uid="{11400592-E70D-48AB-9FCB-860486F10BB1}" uniqueName="34" name="Column34" totalsRowFunction="custom" queryTableFieldId="34" dataDxfId="2942" totalsRowDxfId="2941">
      <totalsRowFormula>AH7-360</totalsRowFormula>
    </tableColumn>
    <tableColumn id="35" xr3:uid="{6E4F570E-1249-4F1F-B30B-A21F0B15BE9C}" uniqueName="35" name="Column35" totalsRowFunction="custom" queryTableFieldId="35" dataDxfId="2940" totalsRowDxfId="2939">
      <totalsRowFormula>AI7-360</totalsRowFormula>
    </tableColumn>
    <tableColumn id="36" xr3:uid="{050ADB1C-972C-423F-BD55-F22818440D5E}" uniqueName="36" name="Column36" totalsRowFunction="custom" queryTableFieldId="36" dataDxfId="2938" totalsRowDxfId="2937">
      <totalsRowFormula>AJ7-360</totalsRowFormula>
    </tableColumn>
    <tableColumn id="37" xr3:uid="{692D76CA-48AE-4300-A35B-70328B195942}" uniqueName="37" name="Column37" totalsRowFunction="custom" queryTableFieldId="37" dataDxfId="2936" totalsRowDxfId="2935">
      <totalsRowFormula>AK7-360</totalsRowFormula>
    </tableColumn>
    <tableColumn id="38" xr3:uid="{2487CFBB-26DB-47FB-B3E2-92F8D63B4EE2}" uniqueName="38" name="Column38" totalsRowFunction="custom" queryTableFieldId="38" dataDxfId="2934" totalsRowDxfId="2933">
      <totalsRowFormula>AL7-360</totalsRowFormula>
    </tableColumn>
    <tableColumn id="39" xr3:uid="{805CF2E9-2E47-4AD7-B3B3-1F82AFA92CF4}" uniqueName="39" name="Column39" totalsRowFunction="custom" queryTableFieldId="39" dataDxfId="2932" totalsRowDxfId="2931">
      <totalsRowFormula>AM7-360</totalsRowFormula>
    </tableColumn>
    <tableColumn id="40" xr3:uid="{C12A23F4-0454-42BF-96E7-51629BC7E31E}" uniqueName="40" name="Column40" totalsRowFunction="custom" queryTableFieldId="40" dataDxfId="2930" totalsRowDxfId="2929">
      <totalsRowFormula>AN7-360</totalsRowFormula>
    </tableColumn>
    <tableColumn id="41" xr3:uid="{C452839F-A6C1-4078-A0B6-9EE157B90467}" uniqueName="41" name="Column41" totalsRowFunction="custom" queryTableFieldId="41" dataDxfId="2928" totalsRowDxfId="2927">
      <totalsRowFormula>AO7-360</totalsRowFormula>
    </tableColumn>
    <tableColumn id="42" xr3:uid="{A5C24DE0-BAD5-4B69-AFD9-5FD8FF8B861C}" uniqueName="42" name="Column42" totalsRowFunction="custom" queryTableFieldId="42" dataDxfId="2926" totalsRowDxfId="2925">
      <totalsRowFormula>AP7-360</totalsRowFormula>
    </tableColumn>
    <tableColumn id="43" xr3:uid="{2F717189-C679-492C-B903-B592AC55111F}" uniqueName="43" name="Column43" totalsRowFunction="custom" queryTableFieldId="43" dataDxfId="2924" totalsRowDxfId="2923">
      <totalsRowFormula>AQ7-360</totalsRowFormula>
    </tableColumn>
    <tableColumn id="44" xr3:uid="{01A28C73-241A-42FD-90E3-92E6AC066E3B}" uniqueName="44" name="Column44" totalsRowFunction="custom" queryTableFieldId="44" dataDxfId="2922" totalsRowDxfId="2921">
      <totalsRowFormula>AR7-360</totalsRowFormula>
    </tableColumn>
    <tableColumn id="45" xr3:uid="{FF0D9568-53AA-4340-83F7-CEAE2C110430}" uniqueName="45" name="Column45" totalsRowFunction="custom" queryTableFieldId="45" dataDxfId="2920" totalsRowDxfId="2919">
      <totalsRowFormula>AS7-360</totalsRowFormula>
    </tableColumn>
    <tableColumn id="46" xr3:uid="{661EDD8E-6335-4126-8227-A57E05E0F8C5}" uniqueName="46" name="Column46" totalsRowFunction="custom" queryTableFieldId="46" dataDxfId="2918" totalsRowDxfId="2917">
      <totalsRowFormula>AT7-360</totalsRowFormula>
    </tableColumn>
    <tableColumn id="47" xr3:uid="{41DC20A9-AE0F-4079-97CD-266D977C6BAB}" uniqueName="47" name="Column47" totalsRowFunction="custom" queryTableFieldId="47" dataDxfId="2916" totalsRowDxfId="2915">
      <totalsRowFormula>AU7-360</totalsRowFormula>
    </tableColumn>
    <tableColumn id="48" xr3:uid="{20246991-8104-491E-8F92-A57BEA9985DC}" uniqueName="48" name="Column48" totalsRowFunction="custom" queryTableFieldId="48" dataDxfId="2914" totalsRowDxfId="2913">
      <totalsRowFormula>AV7-360</totalsRowFormula>
    </tableColumn>
    <tableColumn id="49" xr3:uid="{4D2E9F24-37B4-4D19-B6EA-F0D837FB63BA}" uniqueName="49" name="Column49" totalsRowFunction="custom" queryTableFieldId="49" dataDxfId="2912" totalsRowDxfId="2911">
      <totalsRowFormula>AW7-360</totalsRowFormula>
    </tableColumn>
    <tableColumn id="50" xr3:uid="{55EE1382-3AA5-43A3-94AA-3662D605DAB2}" uniqueName="50" name="Column50" totalsRowFunction="custom" queryTableFieldId="50" dataDxfId="2910" totalsRowDxfId="2909">
      <totalsRowFormula>AX7-360</totalsRowFormula>
    </tableColumn>
    <tableColumn id="51" xr3:uid="{724B8CBB-C35C-4300-B46F-BE3CBAB67F30}" uniqueName="51" name="Column51" totalsRowFunction="custom" queryTableFieldId="51" dataDxfId="2908" totalsRowDxfId="2907">
      <totalsRowFormula>AY7-360</totalsRowFormula>
    </tableColumn>
    <tableColumn id="52" xr3:uid="{27023B10-67AF-4DBA-B49F-0341F407FF54}" uniqueName="52" name="Column52" totalsRowFunction="custom" queryTableFieldId="52" dataDxfId="2906" totalsRowDxfId="2905">
      <totalsRowFormula>AZ7*1</totalsRowFormula>
    </tableColumn>
    <tableColumn id="53" xr3:uid="{A536CD1F-F120-468D-A0DB-128EE558D1BC}" uniqueName="53" name="Column53" totalsRowFunction="custom" queryTableFieldId="53" dataDxfId="2904" totalsRowDxfId="2903">
      <totalsRowFormula>BA7*1</totalsRowFormula>
    </tableColumn>
    <tableColumn id="54" xr3:uid="{D231D939-7777-4EBD-B0D6-073BE6138A16}" uniqueName="54" name="Column54" totalsRowFunction="custom" queryTableFieldId="54" dataDxfId="2902" totalsRowDxfId="2901">
      <totalsRowFormula>BB7*1</totalsRowFormula>
    </tableColumn>
    <tableColumn id="55" xr3:uid="{5037B0F7-DDDB-4E15-A8BD-144DF1CCF339}" uniqueName="55" name="Column55" totalsRowFunction="custom" queryTableFieldId="55" dataDxfId="2900" totalsRowDxfId="2899">
      <totalsRowFormula>BC7*1</totalsRowFormula>
    </tableColumn>
    <tableColumn id="56" xr3:uid="{EAA26129-98C3-4C78-8E28-AFBED294141A}" uniqueName="56" name="Column56" totalsRowFunction="custom" queryTableFieldId="56" dataDxfId="2898" totalsRowDxfId="2897">
      <totalsRowFormula>BD7*1</totalsRowFormula>
    </tableColumn>
    <tableColumn id="57" xr3:uid="{2C1AF7BB-C452-416F-806E-ACDA69A5EFC8}" uniqueName="57" name="Column57" totalsRowFunction="custom" queryTableFieldId="57" dataDxfId="2896" totalsRowDxfId="2895">
      <totalsRowFormula>BE7*1</totalsRowFormula>
    </tableColumn>
    <tableColumn id="58" xr3:uid="{21550632-B04E-4391-AE91-73515FDF7B04}" uniqueName="58" name="Column58" totalsRowFunction="custom" queryTableFieldId="58" dataDxfId="2894" totalsRowDxfId="2893">
      <totalsRowFormula>BF7*1</totalsRowFormula>
    </tableColumn>
    <tableColumn id="59" xr3:uid="{729B2907-06DC-4728-B685-98559F278681}" uniqueName="59" name="Column59" totalsRowFunction="custom" queryTableFieldId="59" dataDxfId="2892" totalsRowDxfId="2891">
      <totalsRowFormula>BG7*1</totalsRowFormula>
    </tableColumn>
    <tableColumn id="60" xr3:uid="{C779F4A4-BC85-4F64-8459-94759C7E7594}" uniqueName="60" name="Column60" totalsRowFunction="custom" queryTableFieldId="60" dataDxfId="2890" totalsRowDxfId="2889">
      <totalsRowFormula>BH7*1</totalsRowFormula>
    </tableColumn>
    <tableColumn id="61" xr3:uid="{F7138960-51D2-4E64-94DF-29BD2DAE4CE7}" uniqueName="61" name="Column61" totalsRowFunction="custom" queryTableFieldId="61" dataDxfId="2888" totalsRowDxfId="2887">
      <totalsRowFormula>BI7*1</totalsRowFormula>
    </tableColumn>
    <tableColumn id="62" xr3:uid="{D90C1810-4A3D-44A9-B06E-2257B8BCBA24}" uniqueName="62" name="Column62" totalsRowFunction="custom" queryTableFieldId="62" dataDxfId="2886" totalsRowDxfId="2885">
      <totalsRowFormula>BJ7*1</totalsRowFormula>
    </tableColumn>
    <tableColumn id="63" xr3:uid="{6343DB1D-2026-400D-BCA0-87F8FC4AA24D}" uniqueName="63" name="Column63" totalsRowFunction="custom" queryTableFieldId="63" dataDxfId="2884" totalsRowDxfId="2883">
      <totalsRowFormula>BK7*1</totalsRowFormula>
    </tableColumn>
    <tableColumn id="64" xr3:uid="{9F9577D6-DB39-4E40-A038-2E6D31A1BC93}" uniqueName="64" name="Column64" totalsRowFunction="custom" queryTableFieldId="64" dataDxfId="2882" totalsRowDxfId="2881">
      <totalsRowFormula>BL7*1</totalsRowFormula>
    </tableColumn>
    <tableColumn id="65" xr3:uid="{DCC0CFE8-F0E2-4CD7-916C-B842CC9AA8E6}" uniqueName="65" name="Column65" totalsRowFunction="custom" queryTableFieldId="65" dataDxfId="2880" totalsRowDxfId="2879">
      <totalsRowFormula>BM7*1</totalsRowFormula>
    </tableColumn>
    <tableColumn id="66" xr3:uid="{6AFFE5F7-7EE0-40A3-9A05-067DFB04A6B8}" uniqueName="66" name="Column66" totalsRowFunction="custom" queryTableFieldId="66" dataDxfId="2878" totalsRowDxfId="2877">
      <totalsRowFormula>BN7*1</totalsRowFormula>
    </tableColumn>
    <tableColumn id="67" xr3:uid="{7F9AAD0D-49FB-49B3-944E-DD94C86390C6}" uniqueName="67" name="Column67" totalsRowFunction="custom" queryTableFieldId="67" dataDxfId="2876" totalsRowDxfId="2875">
      <totalsRowFormula>BO7*1</totalsRowFormula>
    </tableColumn>
    <tableColumn id="68" xr3:uid="{C16D8EF5-A4CD-4D02-A342-CA0EF2C810A4}" uniqueName="68" name="Column68" totalsRowFunction="custom" queryTableFieldId="68" dataDxfId="2874" totalsRowDxfId="2873">
      <totalsRowFormula>BP7*1</totalsRowFormula>
    </tableColumn>
    <tableColumn id="69" xr3:uid="{F86E204D-BEC1-4401-B2D2-42503E5C35EE}" uniqueName="69" name="Column69" totalsRowFunction="custom" queryTableFieldId="69" dataDxfId="2872" totalsRowDxfId="2871">
      <totalsRowFormula>BQ7*1</totalsRowFormula>
    </tableColumn>
    <tableColumn id="70" xr3:uid="{C6DD8858-2F41-4AAC-A056-A06CEAA9D4A4}" uniqueName="70" name="Column70" totalsRowFunction="custom" queryTableFieldId="70" dataDxfId="2870" totalsRowDxfId="2869">
      <totalsRowFormula>BR7*1</totalsRowFormula>
    </tableColumn>
    <tableColumn id="71" xr3:uid="{43EFEDAA-F64C-45C2-A5A8-BBE7819B642E}" uniqueName="71" name="Column71" totalsRowFunction="custom" queryTableFieldId="71" dataDxfId="2868" totalsRowDxfId="2867">
      <totalsRowFormula>BS7*1</totalsRowFormula>
    </tableColumn>
    <tableColumn id="72" xr3:uid="{383EC20D-A9E8-4634-B728-E128916801FA}" uniqueName="72" name="Column72" totalsRowFunction="custom" queryTableFieldId="72" dataDxfId="2866" totalsRowDxfId="2865">
      <totalsRowFormula>BT7*1</totalsRowFormula>
    </tableColumn>
    <tableColumn id="73" xr3:uid="{4A006E68-BAAD-47C3-907E-35DAD400D2EB}" uniqueName="73" name="Column73" totalsRowFunction="custom" queryTableFieldId="73" dataDxfId="2864" totalsRowDxfId="2863">
      <totalsRowFormula>BU7*1</totalsRowFormula>
    </tableColumn>
    <tableColumn id="74" xr3:uid="{2EC6D57C-31D3-46F9-A057-C7EC0F9F6E94}" uniqueName="74" name="Column74" totalsRowFunction="custom" queryTableFieldId="74" dataDxfId="2862" totalsRowDxfId="2861">
      <totalsRowFormula>BV7*1</totalsRowFormula>
    </tableColumn>
    <tableColumn id="75" xr3:uid="{5DE1E28B-1F3F-471F-AEAD-82B87C82A485}" uniqueName="75" name="Column75" totalsRowFunction="custom" queryTableFieldId="75" dataDxfId="2860" totalsRowDxfId="2859">
      <totalsRowFormula>BW7*1</totalsRowFormula>
    </tableColumn>
    <tableColumn id="76" xr3:uid="{79777FB6-A2E8-4397-AB33-37BBC352E6FB}" uniqueName="76" name="Column76" totalsRowFunction="custom" queryTableFieldId="76" dataDxfId="2858" totalsRowDxfId="2857">
      <totalsRowFormula>BX7*1</totalsRowFormula>
    </tableColumn>
    <tableColumn id="77" xr3:uid="{D7C21F4B-EE9F-46E2-AD9E-663FF2F7D794}" uniqueName="77" name="Column77" totalsRowFunction="custom" queryTableFieldId="77" dataDxfId="2856" totalsRowDxfId="2855">
      <totalsRowFormula>BY7*1</totalsRowFormula>
    </tableColumn>
    <tableColumn id="78" xr3:uid="{2A562AF2-FABB-4A45-804C-A50D0A3053B9}" uniqueName="78" name="Column78" totalsRowFunction="custom" queryTableFieldId="78" dataDxfId="2854" totalsRowDxfId="2853">
      <totalsRowFormula>BZ7*1</totalsRowFormula>
    </tableColumn>
    <tableColumn id="79" xr3:uid="{A2F47D24-C555-4663-BA7E-8038B58F0B2D}" uniqueName="79" name="Column79" totalsRowFunction="custom" queryTableFieldId="79" dataDxfId="2852" totalsRowDxfId="2851">
      <totalsRowFormula>CA7*1</totalsRowFormula>
    </tableColumn>
    <tableColumn id="80" xr3:uid="{42491B36-3614-43CE-A02B-01EEAE25D261}" uniqueName="80" name="Column80" totalsRowFunction="custom" queryTableFieldId="80" dataDxfId="2850" totalsRowDxfId="2849">
      <totalsRowFormula>CB7*1</totalsRowFormula>
    </tableColumn>
    <tableColumn id="81" xr3:uid="{270D80F7-43E0-4B43-9D3A-0293E12C1D44}" uniqueName="81" name="Column81" totalsRowFunction="custom" queryTableFieldId="81" dataDxfId="2848" totalsRowDxfId="2847">
      <totalsRowFormula>CC7*1</totalsRowFormula>
    </tableColumn>
    <tableColumn id="82" xr3:uid="{E8CBE75E-A065-4818-805A-D3552A02BFD8}" uniqueName="82" name="Column82" totalsRowFunction="custom" queryTableFieldId="82" dataDxfId="2846" totalsRowDxfId="2845">
      <totalsRowFormula>CD7*1</totalsRowFormula>
    </tableColumn>
    <tableColumn id="83" xr3:uid="{FBE1A7D1-0F2F-444D-A0D1-6770942C7F3D}" uniqueName="83" name="Column83" totalsRowFunction="custom" queryTableFieldId="83" dataDxfId="2844" totalsRowDxfId="2843">
      <totalsRowFormula>CE7*1</totalsRowFormula>
    </tableColumn>
    <tableColumn id="84" xr3:uid="{8D7D1402-0145-433A-A78A-9E31FB49D963}" uniqueName="84" name="Column84" totalsRowFunction="custom" queryTableFieldId="84" dataDxfId="2842" totalsRowDxfId="2841">
      <totalsRowFormula>CF7*1</totalsRowFormula>
    </tableColumn>
    <tableColumn id="85" xr3:uid="{58A8773B-C0C9-4F0A-850C-802020D8E643}" uniqueName="85" name="Column85" totalsRowFunction="custom" queryTableFieldId="85" dataDxfId="2840" totalsRowDxfId="2839">
      <totalsRowFormula>CG7*1</totalsRowFormula>
    </tableColumn>
    <tableColumn id="86" xr3:uid="{AA641740-C83D-4585-A99D-5F500D4E1867}" uniqueName="86" name="Column86" totalsRowFunction="custom" queryTableFieldId="86" dataDxfId="2838" totalsRowDxfId="2837">
      <totalsRowFormula>CH7*1</totalsRowFormula>
    </tableColumn>
    <tableColumn id="87" xr3:uid="{06CA71FB-89C1-46D3-872F-5E463CC1A799}" uniqueName="87" name="Column87" totalsRowFunction="custom" queryTableFieldId="87" dataDxfId="2836" totalsRowDxfId="2835">
      <totalsRowFormula>CI7*1</totalsRowFormula>
    </tableColumn>
    <tableColumn id="88" xr3:uid="{64799511-14E3-49A7-A9A9-18821E159B54}" uniqueName="88" name="Column88" totalsRowFunction="custom" queryTableFieldId="88" dataDxfId="2834" totalsRowDxfId="2833">
      <totalsRowFormula>CJ7*1</totalsRowFormula>
    </tableColumn>
    <tableColumn id="89" xr3:uid="{BA0400FD-E850-4B21-8F35-A7975AC4DFD3}" uniqueName="89" name="Column89" totalsRowFunction="custom" queryTableFieldId="89" dataDxfId="2832" totalsRowDxfId="2831">
      <totalsRowFormula>CK7*1</totalsRowFormula>
    </tableColumn>
    <tableColumn id="90" xr3:uid="{8C495422-0852-4F48-B830-276A42E71364}" uniqueName="90" name="Column90" totalsRowFunction="custom" queryTableFieldId="90" dataDxfId="2830" totalsRowDxfId="2829">
      <totalsRowFormula>CL7*1</totalsRowFormula>
    </tableColumn>
    <tableColumn id="91" xr3:uid="{6A0B9E43-4B82-4694-BEAF-7B49C2B89C20}" uniqueName="91" name="Column91" totalsRowFunction="custom" queryTableFieldId="91" dataDxfId="2828" totalsRowDxfId="2827">
      <totalsRowFormula>CM7*1</totalsRowFormula>
    </tableColumn>
    <tableColumn id="92" xr3:uid="{F297B006-163C-4315-8C09-0B3D5427B9A4}" uniqueName="92" name="Column92" totalsRowFunction="custom" queryTableFieldId="92" dataDxfId="2826" totalsRowDxfId="2825">
      <totalsRowFormula>CN7*1</totalsRowFormula>
    </tableColumn>
    <tableColumn id="93" xr3:uid="{75F6DB57-E88F-46BD-BD04-6AD64384FCDF}" uniqueName="93" name="Column93" totalsRowFunction="custom" queryTableFieldId="93" dataDxfId="2824" totalsRowDxfId="2823">
      <totalsRowFormula>CO7*1</totalsRowFormula>
    </tableColumn>
    <tableColumn id="94" xr3:uid="{596262EC-2821-46C7-B329-4B2A92344FB8}" uniqueName="94" name="Column94" totalsRowFunction="custom" queryTableFieldId="94" dataDxfId="2822" totalsRowDxfId="2821">
      <totalsRowFormula>CP7*1</totalsRowFormula>
    </tableColumn>
    <tableColumn id="95" xr3:uid="{D628998B-0232-4992-B9A8-F6E0CE6ACD49}" uniqueName="95" name="Column95" totalsRowFunction="custom" queryTableFieldId="95" dataDxfId="2820" totalsRowDxfId="2819">
      <totalsRowFormula>CQ7*1</totalsRowFormula>
    </tableColumn>
    <tableColumn id="96" xr3:uid="{0462F22D-864F-4BED-9D3E-B9F8512D02E3}" uniqueName="96" name="Column96" totalsRowFunction="custom" queryTableFieldId="96" dataDxfId="2818" totalsRowDxfId="2817">
      <totalsRowFormula>CR7*1</totalsRowFormula>
    </tableColumn>
    <tableColumn id="97" xr3:uid="{3CCE3DA4-3FC0-4BD3-9A30-C00FEA339357}" uniqueName="97" name="Column97" totalsRowFunction="custom" queryTableFieldId="97" dataDxfId="2816" totalsRowDxfId="2815">
      <totalsRowFormula>CS7*1</totalsRowFormula>
    </tableColumn>
    <tableColumn id="98" xr3:uid="{15E3B8F9-6FAA-433D-8949-3E859CAAA4E6}" uniqueName="98" name="Column98" totalsRowFunction="custom" queryTableFieldId="98" dataDxfId="2814" totalsRowDxfId="2813">
      <totalsRowFormula>CT7*1</totalsRowFormula>
    </tableColumn>
    <tableColumn id="99" xr3:uid="{868FB9E8-230F-492F-A8A7-58CA796D58B2}" uniqueName="99" name="Column99" totalsRowFunction="custom" queryTableFieldId="99" dataDxfId="2812" totalsRowDxfId="2811">
      <totalsRowFormula>CU7*1</totalsRowFormula>
    </tableColumn>
    <tableColumn id="100" xr3:uid="{90279EEF-E5E6-4787-A0E8-9018B53CF44D}" uniqueName="100" name="Column100" totalsRowFunction="custom" queryTableFieldId="100" dataDxfId="2810" totalsRowDxfId="2809">
      <totalsRowFormula>CV7*1</totalsRowFormula>
    </tableColumn>
    <tableColumn id="101" xr3:uid="{C574DF7F-58DC-4BC5-99E9-66B3DD9D85CD}" uniqueName="101" name="Column101" totalsRowFunction="custom" queryTableFieldId="101" dataDxfId="2808" totalsRowDxfId="2807">
      <totalsRowFormula>CW7*1</totalsRowFormula>
    </tableColumn>
    <tableColumn id="102" xr3:uid="{D555E8B3-6DEA-41CF-ABB6-8E6C56C25EE1}" uniqueName="102" name="Column102" totalsRowFunction="custom" queryTableFieldId="102" totalsRowDxfId="2806">
      <totalsRowFormula>CX7*1</totalsRow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BA4617-00D0-4080-89EC-A320989513EF}" name="yawMovement" displayName="yawMovement" ref="A1:CW8" tableType="queryTable" totalsRowCount="1">
  <autoFilter ref="A1:CW7" xr:uid="{C2BA4617-00D0-4080-89EC-A320989513EF}"/>
  <tableColumns count="101">
    <tableColumn id="1" xr3:uid="{926B7512-9503-4ECF-8CF0-A87BCB114056}" uniqueName="1" name="Column1" totalsRowFunction="custom" queryTableFieldId="1" dataDxfId="2805" totalsRowDxfId="2804">
      <totalsRowFormula>A7-360</totalsRowFormula>
    </tableColumn>
    <tableColumn id="2" xr3:uid="{EC02ED56-A060-4178-B379-C0D69258A6A9}" uniqueName="2" name="Column2" totalsRowFunction="custom" queryTableFieldId="2" dataDxfId="2803" totalsRowDxfId="2802">
      <totalsRowFormula>B7-360</totalsRowFormula>
    </tableColumn>
    <tableColumn id="3" xr3:uid="{7300B607-4881-4271-8F29-5DC2C6809B58}" uniqueName="3" name="Column3" totalsRowFunction="custom" queryTableFieldId="3" dataDxfId="2801" totalsRowDxfId="2800">
      <totalsRowFormula>C7-360</totalsRowFormula>
    </tableColumn>
    <tableColumn id="4" xr3:uid="{8D049232-37FE-45A2-BF3F-831B0F3D4A21}" uniqueName="4" name="Column4" totalsRowFunction="custom" queryTableFieldId="4" dataDxfId="2799" totalsRowDxfId="2798">
      <totalsRowFormula>D7-360</totalsRowFormula>
    </tableColumn>
    <tableColumn id="5" xr3:uid="{523E9DC6-9010-4D11-B45B-644A66960D2A}" uniqueName="5" name="Column5" totalsRowFunction="custom" queryTableFieldId="5" dataDxfId="2797" totalsRowDxfId="2796">
      <totalsRowFormula>E7-360</totalsRowFormula>
    </tableColumn>
    <tableColumn id="6" xr3:uid="{1C6770E0-EE18-48E1-9F71-2BAF235FCE97}" uniqueName="6" name="Column6" totalsRowFunction="custom" queryTableFieldId="6" dataDxfId="2795" totalsRowDxfId="2794">
      <totalsRowFormula>F7-360</totalsRowFormula>
    </tableColumn>
    <tableColumn id="7" xr3:uid="{0F90633E-7D49-4A52-9B46-1F500536A0AF}" uniqueName="7" name="Column7" totalsRowFunction="custom" queryTableFieldId="7" dataDxfId="2793" totalsRowDxfId="2792">
      <totalsRowFormula>G7-360</totalsRowFormula>
    </tableColumn>
    <tableColumn id="8" xr3:uid="{CD1F6845-CC87-4BCE-BC7A-F2979074CD74}" uniqueName="8" name="Column8" totalsRowFunction="custom" queryTableFieldId="8" dataDxfId="2791" totalsRowDxfId="2790">
      <totalsRowFormula>H7-360</totalsRowFormula>
    </tableColumn>
    <tableColumn id="9" xr3:uid="{80E46A47-8F60-4CF9-B571-513E91E129D2}" uniqueName="9" name="Column9" totalsRowFunction="custom" queryTableFieldId="9" dataDxfId="2789" totalsRowDxfId="2788">
      <totalsRowFormula>I7-360</totalsRowFormula>
    </tableColumn>
    <tableColumn id="10" xr3:uid="{4896777D-8AD8-458C-9DD6-F37A32ABF76B}" uniqueName="10" name="Column10" totalsRowFunction="custom" queryTableFieldId="10" dataDxfId="2787" totalsRowDxfId="2786">
      <totalsRowFormula>J7-360</totalsRowFormula>
    </tableColumn>
    <tableColumn id="11" xr3:uid="{3F723458-2AB6-4199-97F0-FEAF878960EF}" uniqueName="11" name="Column11" totalsRowFunction="custom" queryTableFieldId="11" dataDxfId="2785" totalsRowDxfId="2784">
      <totalsRowFormula>K7-360</totalsRowFormula>
    </tableColumn>
    <tableColumn id="12" xr3:uid="{6A45DEA2-F79C-466C-8B43-3DD51E6E7BC7}" uniqueName="12" name="Column12" totalsRowFunction="custom" queryTableFieldId="12" dataDxfId="2783" totalsRowDxfId="2782">
      <totalsRowFormula>L7-360</totalsRowFormula>
    </tableColumn>
    <tableColumn id="13" xr3:uid="{4AF1C4EA-9333-4208-8315-EBA445DC08EE}" uniqueName="13" name="Column13" totalsRowFunction="custom" queryTableFieldId="13" dataDxfId="2781" totalsRowDxfId="2780">
      <totalsRowFormula>M7-360</totalsRowFormula>
    </tableColumn>
    <tableColumn id="14" xr3:uid="{FECE8BC3-349B-4415-80CB-7F1CF6D6EDA6}" uniqueName="14" name="Column14" totalsRowFunction="custom" queryTableFieldId="14" dataDxfId="2779" totalsRowDxfId="2778">
      <totalsRowFormula>N7-360</totalsRowFormula>
    </tableColumn>
    <tableColumn id="15" xr3:uid="{72A372BE-B954-4809-AEF0-A4C04EC5F510}" uniqueName="15" name="Column15" totalsRowFunction="custom" queryTableFieldId="15" dataDxfId="2777" totalsRowDxfId="2776">
      <totalsRowFormula>O7-360</totalsRowFormula>
    </tableColumn>
    <tableColumn id="16" xr3:uid="{17AE32A5-2920-43F7-9A8E-E747389896F7}" uniqueName="16" name="Column16" totalsRowFunction="custom" queryTableFieldId="16" dataDxfId="2775" totalsRowDxfId="2774">
      <totalsRowFormula>P7-360</totalsRowFormula>
    </tableColumn>
    <tableColumn id="17" xr3:uid="{BF784105-80C4-4F94-9EB1-14ECD2BEB292}" uniqueName="17" name="Column17" totalsRowFunction="custom" queryTableFieldId="17" dataDxfId="2773" totalsRowDxfId="2772">
      <totalsRowFormula>Q7-360</totalsRowFormula>
    </tableColumn>
    <tableColumn id="18" xr3:uid="{B02BEC96-245C-4844-B599-77132B063076}" uniqueName="18" name="Column18" totalsRowFunction="custom" queryTableFieldId="18" dataDxfId="2771" totalsRowDxfId="2770">
      <totalsRowFormula>R7-360</totalsRowFormula>
    </tableColumn>
    <tableColumn id="19" xr3:uid="{CC08EC92-C869-49E3-966F-702BFAE549FA}" uniqueName="19" name="Column19" totalsRowFunction="custom" queryTableFieldId="19" dataDxfId="2769" totalsRowDxfId="2768">
      <totalsRowFormula>S7-360</totalsRowFormula>
    </tableColumn>
    <tableColumn id="20" xr3:uid="{2D5C7472-5B96-4BE2-854F-D4467251123A}" uniqueName="20" name="Column20" totalsRowFunction="custom" queryTableFieldId="20" dataDxfId="2767" totalsRowDxfId="2766">
      <totalsRowFormula>T7-360</totalsRowFormula>
    </tableColumn>
    <tableColumn id="21" xr3:uid="{9ED5B80C-B885-4C85-AE1E-0E03033346BA}" uniqueName="21" name="Column21" totalsRowFunction="custom" queryTableFieldId="21" dataDxfId="2765" totalsRowDxfId="2764">
      <totalsRowFormula>U7-360</totalsRowFormula>
    </tableColumn>
    <tableColumn id="22" xr3:uid="{11B206B0-331F-476E-805B-5868A1590450}" uniqueName="22" name="Column22" totalsRowFunction="custom" queryTableFieldId="22" dataDxfId="2763" totalsRowDxfId="2762">
      <totalsRowFormula>V7-360</totalsRowFormula>
    </tableColumn>
    <tableColumn id="23" xr3:uid="{631F7D79-5CB8-45D8-85AA-6850DDDD9617}" uniqueName="23" name="Column23" totalsRowFunction="custom" queryTableFieldId="23" dataDxfId="2761" totalsRowDxfId="2760">
      <totalsRowFormula>W7-360</totalsRowFormula>
    </tableColumn>
    <tableColumn id="24" xr3:uid="{0D9A15E3-B811-494E-91CC-A00C65FEBAB6}" uniqueName="24" name="Column24" totalsRowFunction="custom" queryTableFieldId="24" dataDxfId="2759" totalsRowDxfId="2758">
      <totalsRowFormula>X7-360</totalsRowFormula>
    </tableColumn>
    <tableColumn id="25" xr3:uid="{92D98BF2-0402-4250-B0AA-D67BC70DC449}" uniqueName="25" name="Column25" totalsRowFunction="custom" queryTableFieldId="25" dataDxfId="2757" totalsRowDxfId="2756">
      <totalsRowFormula>Y7-360</totalsRowFormula>
    </tableColumn>
    <tableColumn id="26" xr3:uid="{57F2728D-9CB9-41E6-BE00-FFA51C4EFF48}" uniqueName="26" name="Column26" totalsRowFunction="custom" queryTableFieldId="26" dataDxfId="2755" totalsRowDxfId="2754">
      <totalsRowFormula>Z7-360</totalsRowFormula>
    </tableColumn>
    <tableColumn id="27" xr3:uid="{96EBC947-9725-4709-93BA-7B087962CA46}" uniqueName="27" name="Column27" totalsRowFunction="custom" queryTableFieldId="27" dataDxfId="2753" totalsRowDxfId="2752">
      <totalsRowFormula>AA7-360</totalsRowFormula>
    </tableColumn>
    <tableColumn id="28" xr3:uid="{3B620EF2-CA50-4E78-92FA-8DB243DDAA4B}" uniqueName="28" name="Column28" totalsRowFunction="custom" queryTableFieldId="28" dataDxfId="2751" totalsRowDxfId="2750">
      <totalsRowFormula>AB7-360</totalsRowFormula>
    </tableColumn>
    <tableColumn id="29" xr3:uid="{CB0758F9-1859-4081-ADF8-324B79B2838C}" uniqueName="29" name="Column29" totalsRowFunction="custom" queryTableFieldId="29" dataDxfId="2749" totalsRowDxfId="2748">
      <totalsRowFormula>AC7-360</totalsRowFormula>
    </tableColumn>
    <tableColumn id="30" xr3:uid="{7D3EC0A3-9F96-48E3-9BF8-B4104E690DFE}" uniqueName="30" name="Column30" totalsRowFunction="custom" queryTableFieldId="30" dataDxfId="2747" totalsRowDxfId="2746">
      <totalsRowFormula>AD7-360</totalsRowFormula>
    </tableColumn>
    <tableColumn id="31" xr3:uid="{681E2ECD-1D2B-48D5-B972-0D3011481697}" uniqueName="31" name="Column31" totalsRowFunction="custom" queryTableFieldId="31" dataDxfId="2745" totalsRowDxfId="2744">
      <totalsRowFormula>AE7-360</totalsRowFormula>
    </tableColumn>
    <tableColumn id="32" xr3:uid="{B706F5C4-AB58-4E40-9E93-81DC42661012}" uniqueName="32" name="Column32" totalsRowFunction="custom" queryTableFieldId="32" dataDxfId="2743" totalsRowDxfId="2742">
      <totalsRowFormula>AF7-360</totalsRowFormula>
    </tableColumn>
    <tableColumn id="33" xr3:uid="{77C24376-6542-47AA-A1D3-7245AFC359E0}" uniqueName="33" name="Column33" totalsRowFunction="custom" queryTableFieldId="33" dataDxfId="2741" totalsRowDxfId="2740">
      <totalsRowFormula>AG7-360</totalsRowFormula>
    </tableColumn>
    <tableColumn id="34" xr3:uid="{6FE4B279-83DF-47CA-8C16-2F8EF9C01994}" uniqueName="34" name="Column34" totalsRowFunction="custom" queryTableFieldId="34" dataDxfId="2739" totalsRowDxfId="2738">
      <totalsRowFormula>AH7-360</totalsRowFormula>
    </tableColumn>
    <tableColumn id="35" xr3:uid="{D3CC4C71-BECA-4963-8D36-2B94E6D47178}" uniqueName="35" name="Column35" totalsRowFunction="custom" queryTableFieldId="35" dataDxfId="2737" totalsRowDxfId="2736">
      <totalsRowFormula>AI7-360</totalsRowFormula>
    </tableColumn>
    <tableColumn id="36" xr3:uid="{80C65B39-F613-453B-A581-0B6E2183E80A}" uniqueName="36" name="Column36" totalsRowFunction="custom" queryTableFieldId="36" dataDxfId="2735" totalsRowDxfId="2734">
      <totalsRowFormula>AJ7-360</totalsRowFormula>
    </tableColumn>
    <tableColumn id="37" xr3:uid="{6A87823D-61F5-491B-9AA5-55B0F6D645C6}" uniqueName="37" name="Column37" totalsRowFunction="custom" queryTableFieldId="37" dataDxfId="2733" totalsRowDxfId="2732">
      <totalsRowFormula>AK7-360</totalsRowFormula>
    </tableColumn>
    <tableColumn id="38" xr3:uid="{8E8ACEF2-023F-4CF1-A8BA-09D5EFA125A0}" uniqueName="38" name="Column38" totalsRowFunction="custom" queryTableFieldId="38" dataDxfId="2731" totalsRowDxfId="2730">
      <totalsRowFormula>AL7-360</totalsRowFormula>
    </tableColumn>
    <tableColumn id="39" xr3:uid="{952A335E-5207-4CD8-A829-118AC5CDBA84}" uniqueName="39" name="Column39" totalsRowFunction="custom" queryTableFieldId="39" dataDxfId="2729" totalsRowDxfId="2728">
      <totalsRowFormula>AM7-360</totalsRowFormula>
    </tableColumn>
    <tableColumn id="40" xr3:uid="{B3329779-382F-4C53-8098-6AD88B9482DC}" uniqueName="40" name="Column40" totalsRowFunction="custom" queryTableFieldId="40" dataDxfId="2727" totalsRowDxfId="2726">
      <totalsRowFormula>AN7-360</totalsRowFormula>
    </tableColumn>
    <tableColumn id="41" xr3:uid="{A4345474-F6D7-4E88-8B77-BBEA47AD03E6}" uniqueName="41" name="Column41" totalsRowFunction="custom" queryTableFieldId="41" dataDxfId="2725" totalsRowDxfId="2724">
      <totalsRowFormula>AO7-360</totalsRowFormula>
    </tableColumn>
    <tableColumn id="42" xr3:uid="{BB9BFF02-07C9-4241-9873-34B0BA4C1B3F}" uniqueName="42" name="Column42" totalsRowFunction="custom" queryTableFieldId="42" dataDxfId="2723" totalsRowDxfId="2722">
      <totalsRowFormula>AP7-360</totalsRowFormula>
    </tableColumn>
    <tableColumn id="43" xr3:uid="{CEEF5C6B-E725-487E-BD42-A826819BA8E9}" uniqueName="43" name="Column43" totalsRowFunction="custom" queryTableFieldId="43" dataDxfId="2721" totalsRowDxfId="2720">
      <totalsRowFormula>AQ7-360</totalsRowFormula>
    </tableColumn>
    <tableColumn id="44" xr3:uid="{93236ADA-9157-41F3-AFC9-2E4F74144031}" uniqueName="44" name="Column44" totalsRowFunction="custom" queryTableFieldId="44" dataDxfId="2719" totalsRowDxfId="2718">
      <totalsRowFormula>AR7-360</totalsRowFormula>
    </tableColumn>
    <tableColumn id="45" xr3:uid="{6FBFE165-8E51-4225-8374-73E63C525808}" uniqueName="45" name="Column45" totalsRowFunction="custom" queryTableFieldId="45" dataDxfId="2717" totalsRowDxfId="2716">
      <totalsRowFormula>AS7-360</totalsRowFormula>
    </tableColumn>
    <tableColumn id="46" xr3:uid="{5DD027BD-AD34-408A-97FC-ED97B8C90A64}" uniqueName="46" name="Column46" totalsRowFunction="custom" queryTableFieldId="46" dataDxfId="2715" totalsRowDxfId="2714">
      <totalsRowFormula>AT7-360</totalsRowFormula>
    </tableColumn>
    <tableColumn id="47" xr3:uid="{1E4BA86C-5C12-42EB-BB0B-2BAF59B80F25}" uniqueName="47" name="Column47" totalsRowFunction="custom" queryTableFieldId="47" dataDxfId="2713" totalsRowDxfId="2712">
      <totalsRowFormula>AU7-360</totalsRowFormula>
    </tableColumn>
    <tableColumn id="48" xr3:uid="{1FCD300B-7DA7-4128-A087-9DA570C2CD15}" uniqueName="48" name="Column48" totalsRowFunction="custom" queryTableFieldId="48" dataDxfId="2711" totalsRowDxfId="2710">
      <totalsRowFormula>AV7-360</totalsRowFormula>
    </tableColumn>
    <tableColumn id="49" xr3:uid="{8F8C17F5-9E47-4BC6-8A0E-0FFB639E2795}" uniqueName="49" name="Column49" totalsRowFunction="custom" queryTableFieldId="49" dataDxfId="2709" totalsRowDxfId="2708">
      <totalsRowFormula>AW7-360</totalsRowFormula>
    </tableColumn>
    <tableColumn id="50" xr3:uid="{84ABAEE5-5FF5-4A85-86CB-90D3C16CE557}" uniqueName="50" name="Column50" totalsRowFunction="custom" queryTableFieldId="50" dataDxfId="2707" totalsRowDxfId="2706">
      <totalsRowFormula>AX7-360</totalsRowFormula>
    </tableColumn>
    <tableColumn id="51" xr3:uid="{D3A00495-8B33-43C1-8884-40AF8C2D2ED0}" uniqueName="51" name="Column51" totalsRowFunction="custom" queryTableFieldId="51" dataDxfId="2705" totalsRowDxfId="2704">
      <totalsRowFormula>AY7-360</totalsRowFormula>
    </tableColumn>
    <tableColumn id="52" xr3:uid="{82364959-7F7C-4779-A3A1-3C8B35A55839}" uniqueName="52" name="Column52" totalsRowFunction="custom" queryTableFieldId="52" dataDxfId="2703" totalsRowDxfId="2702">
      <totalsRowFormula>AZ7*1</totalsRowFormula>
    </tableColumn>
    <tableColumn id="53" xr3:uid="{B4BDE303-7EDC-457E-9C33-CDAB957F59A2}" uniqueName="53" name="Column53" totalsRowFunction="custom" queryTableFieldId="53" dataDxfId="2701" totalsRowDxfId="2700">
      <totalsRowFormula>BA7*1</totalsRowFormula>
    </tableColumn>
    <tableColumn id="54" xr3:uid="{6B2322A3-C45A-4AD5-8594-98EBEF3DE4DD}" uniqueName="54" name="Column54" totalsRowFunction="custom" queryTableFieldId="54" dataDxfId="2699" totalsRowDxfId="2698">
      <totalsRowFormula>BB7*1</totalsRowFormula>
    </tableColumn>
    <tableColumn id="55" xr3:uid="{E219169B-F06F-4F40-A705-FFEE01F5A451}" uniqueName="55" name="Column55" totalsRowFunction="custom" queryTableFieldId="55" dataDxfId="2697" totalsRowDxfId="2696">
      <totalsRowFormula>BC7*1</totalsRowFormula>
    </tableColumn>
    <tableColumn id="56" xr3:uid="{F5AA4125-5756-40FA-81D6-FBC5545CDBCC}" uniqueName="56" name="Column56" totalsRowFunction="custom" queryTableFieldId="56" dataDxfId="2695" totalsRowDxfId="2694">
      <totalsRowFormula>BD7*1</totalsRowFormula>
    </tableColumn>
    <tableColumn id="57" xr3:uid="{ED015651-F21C-41D0-A998-37E1DBAD0C32}" uniqueName="57" name="Column57" totalsRowFunction="custom" queryTableFieldId="57" dataDxfId="2693" totalsRowDxfId="2692">
      <totalsRowFormula>BE7*1</totalsRowFormula>
    </tableColumn>
    <tableColumn id="58" xr3:uid="{AC69C46A-CEE8-42D1-9D5D-F5E0045E231D}" uniqueName="58" name="Column58" totalsRowFunction="custom" queryTableFieldId="58" dataDxfId="2691" totalsRowDxfId="2690">
      <totalsRowFormula>BF7*1</totalsRowFormula>
    </tableColumn>
    <tableColumn id="59" xr3:uid="{C197DEC0-4011-4118-A399-D36182C77CF8}" uniqueName="59" name="Column59" totalsRowFunction="custom" queryTableFieldId="59" dataDxfId="2689" totalsRowDxfId="2688">
      <totalsRowFormula>BG7*1</totalsRowFormula>
    </tableColumn>
    <tableColumn id="60" xr3:uid="{F308C7F3-D229-4DAE-BC16-2F409FBE6C78}" uniqueName="60" name="Column60" totalsRowFunction="custom" queryTableFieldId="60" dataDxfId="2687" totalsRowDxfId="2686">
      <totalsRowFormula>BH7*1</totalsRowFormula>
    </tableColumn>
    <tableColumn id="61" xr3:uid="{C1030BFF-4056-4AD5-B271-68602A644CD8}" uniqueName="61" name="Column61" totalsRowFunction="custom" queryTableFieldId="61" dataDxfId="2685" totalsRowDxfId="2684">
      <totalsRowFormula>BI7*1</totalsRowFormula>
    </tableColumn>
    <tableColumn id="62" xr3:uid="{876E79BC-F539-46E3-9C26-F9B660FDBBB5}" uniqueName="62" name="Column62" totalsRowFunction="custom" queryTableFieldId="62" dataDxfId="2683" totalsRowDxfId="2682">
      <totalsRowFormula>BJ7*1</totalsRowFormula>
    </tableColumn>
    <tableColumn id="63" xr3:uid="{5A35AF85-6588-4E7D-AFBF-AD03AC309E47}" uniqueName="63" name="Column63" totalsRowFunction="custom" queryTableFieldId="63" dataDxfId="2681" totalsRowDxfId="2680">
      <totalsRowFormula>BK7*1</totalsRowFormula>
    </tableColumn>
    <tableColumn id="64" xr3:uid="{F6660D44-6C9A-4199-986B-21B4EDBB66E0}" uniqueName="64" name="Column64" totalsRowFunction="custom" queryTableFieldId="64" dataDxfId="2679" totalsRowDxfId="2678">
      <totalsRowFormula>BL7*1</totalsRowFormula>
    </tableColumn>
    <tableColumn id="65" xr3:uid="{CAA64406-2C9A-41F3-A3C0-58528D97D792}" uniqueName="65" name="Column65" totalsRowFunction="custom" queryTableFieldId="65" dataDxfId="2677" totalsRowDxfId="2676">
      <totalsRowFormula>BM7*1</totalsRowFormula>
    </tableColumn>
    <tableColumn id="66" xr3:uid="{49390E95-5FDF-498D-AA61-E588E25C58CD}" uniqueName="66" name="Column66" totalsRowFunction="custom" queryTableFieldId="66" dataDxfId="2675" totalsRowDxfId="2674">
      <totalsRowFormula>BN7*1</totalsRowFormula>
    </tableColumn>
    <tableColumn id="67" xr3:uid="{4323F5EF-4E3D-4B3D-85A8-7A75BCF51D91}" uniqueName="67" name="Column67" totalsRowFunction="custom" queryTableFieldId="67" dataDxfId="2673" totalsRowDxfId="2672">
      <totalsRowFormula>BO7*1</totalsRowFormula>
    </tableColumn>
    <tableColumn id="68" xr3:uid="{5F17E4CD-D99D-4A2C-8CB2-13FFFF2E4CAD}" uniqueName="68" name="Column68" totalsRowFunction="custom" queryTableFieldId="68" dataDxfId="2671" totalsRowDxfId="2670">
      <totalsRowFormula>BP7*1</totalsRowFormula>
    </tableColumn>
    <tableColumn id="69" xr3:uid="{D32CAFEA-944A-444A-8FDD-F88DFFF33DC9}" uniqueName="69" name="Column69" totalsRowFunction="custom" queryTableFieldId="69" dataDxfId="2669" totalsRowDxfId="2668">
      <totalsRowFormula>BQ7*1</totalsRowFormula>
    </tableColumn>
    <tableColumn id="70" xr3:uid="{AC8331E7-0D06-4C22-8A26-B74F61A2DDA4}" uniqueName="70" name="Column70" totalsRowFunction="custom" queryTableFieldId="70" dataDxfId="2667" totalsRowDxfId="2666">
      <totalsRowFormula>BR7*1</totalsRowFormula>
    </tableColumn>
    <tableColumn id="71" xr3:uid="{E70598A1-FFF5-472C-A4C3-45947A26697D}" uniqueName="71" name="Column71" totalsRowFunction="custom" queryTableFieldId="71" dataDxfId="2665" totalsRowDxfId="2664">
      <totalsRowFormula>BS7*1</totalsRowFormula>
    </tableColumn>
    <tableColumn id="72" xr3:uid="{42659E6A-B3A5-4C65-BA8B-5DDFD2C586D7}" uniqueName="72" name="Column72" totalsRowFunction="custom" queryTableFieldId="72" dataDxfId="2663" totalsRowDxfId="2662">
      <totalsRowFormula>BT7*1</totalsRowFormula>
    </tableColumn>
    <tableColumn id="73" xr3:uid="{A8C8958A-0B47-4AAC-8343-F32995DE110A}" uniqueName="73" name="Column73" totalsRowFunction="custom" queryTableFieldId="73" dataDxfId="2661" totalsRowDxfId="2660">
      <totalsRowFormula>BU7*1</totalsRowFormula>
    </tableColumn>
    <tableColumn id="74" xr3:uid="{ACBFBF44-7BA4-4DCD-AE2D-32E92F75AF72}" uniqueName="74" name="Column74" totalsRowFunction="custom" queryTableFieldId="74" dataDxfId="2659" totalsRowDxfId="2658">
      <totalsRowFormula>BV7*1</totalsRowFormula>
    </tableColumn>
    <tableColumn id="75" xr3:uid="{CC377681-2ABB-4DB2-B72D-699DE0CD7CF1}" uniqueName="75" name="Column75" totalsRowFunction="custom" queryTableFieldId="75" dataDxfId="2657" totalsRowDxfId="2656">
      <totalsRowFormula>BW7*1</totalsRowFormula>
    </tableColumn>
    <tableColumn id="76" xr3:uid="{4C0835AF-DF02-4C36-AFDF-F6A36F18BF25}" uniqueName="76" name="Column76" totalsRowFunction="custom" queryTableFieldId="76" dataDxfId="2655" totalsRowDxfId="2654">
      <totalsRowFormula>BX7*1</totalsRowFormula>
    </tableColumn>
    <tableColumn id="77" xr3:uid="{34C8B421-F695-4D7C-91B4-050E0890E3E9}" uniqueName="77" name="Column77" totalsRowFunction="custom" queryTableFieldId="77" dataDxfId="2653" totalsRowDxfId="2652">
      <totalsRowFormula>BY7*1</totalsRowFormula>
    </tableColumn>
    <tableColumn id="78" xr3:uid="{8384A28F-733D-41D8-BE92-F9816ECA96BB}" uniqueName="78" name="Column78" totalsRowFunction="custom" queryTableFieldId="78" dataDxfId="2651" totalsRowDxfId="2650">
      <totalsRowFormula>BZ7*1</totalsRowFormula>
    </tableColumn>
    <tableColumn id="79" xr3:uid="{7455763D-A639-4071-953F-51076CBB9A46}" uniqueName="79" name="Column79" totalsRowFunction="custom" queryTableFieldId="79" dataDxfId="2649" totalsRowDxfId="2648">
      <totalsRowFormula>CA7*1</totalsRowFormula>
    </tableColumn>
    <tableColumn id="80" xr3:uid="{E86F6603-E68E-466C-94B5-305F175768D5}" uniqueName="80" name="Column80" totalsRowFunction="custom" queryTableFieldId="80" dataDxfId="2647" totalsRowDxfId="2646">
      <totalsRowFormula>CB7*1</totalsRowFormula>
    </tableColumn>
    <tableColumn id="81" xr3:uid="{5BD056BA-3137-48F4-B956-7EDBBE8C7C69}" uniqueName="81" name="Column81" totalsRowFunction="custom" queryTableFieldId="81" dataDxfId="2645" totalsRowDxfId="2644">
      <totalsRowFormula>CC7*1</totalsRowFormula>
    </tableColumn>
    <tableColumn id="82" xr3:uid="{48CE2A17-C2BF-4E04-B074-4921177CAE2E}" uniqueName="82" name="Column82" totalsRowFunction="custom" queryTableFieldId="82" dataDxfId="2643" totalsRowDxfId="2642">
      <totalsRowFormula>CD7*1</totalsRowFormula>
    </tableColumn>
    <tableColumn id="83" xr3:uid="{A71D4FD7-183C-4E3F-9894-39CA474BBD29}" uniqueName="83" name="Column83" totalsRowFunction="custom" queryTableFieldId="83" dataDxfId="2641" totalsRowDxfId="2640">
      <totalsRowFormula>CE7*1</totalsRowFormula>
    </tableColumn>
    <tableColumn id="84" xr3:uid="{6DD4CEB7-1EDD-4096-817B-AC07D5AFCF51}" uniqueName="84" name="Column84" totalsRowFunction="custom" queryTableFieldId="84" dataDxfId="2639" totalsRowDxfId="2638">
      <totalsRowFormula>CF7*1</totalsRowFormula>
    </tableColumn>
    <tableColumn id="85" xr3:uid="{F53B9912-3307-4476-B3E1-7171015D7871}" uniqueName="85" name="Column85" totalsRowFunction="custom" queryTableFieldId="85" dataDxfId="2637" totalsRowDxfId="2636">
      <totalsRowFormula>CG7*1</totalsRowFormula>
    </tableColumn>
    <tableColumn id="86" xr3:uid="{B6FEC0BD-E2FA-4EDA-B562-997CBA0CCF2D}" uniqueName="86" name="Column86" totalsRowFunction="custom" queryTableFieldId="86" dataDxfId="2635" totalsRowDxfId="2634">
      <totalsRowFormula>CH7*1</totalsRowFormula>
    </tableColumn>
    <tableColumn id="87" xr3:uid="{A139A361-041F-4FF0-938A-B14133E7CB3D}" uniqueName="87" name="Column87" totalsRowFunction="custom" queryTableFieldId="87" dataDxfId="2633" totalsRowDxfId="2632">
      <totalsRowFormula>CI7*1</totalsRowFormula>
    </tableColumn>
    <tableColumn id="88" xr3:uid="{9CF0E1B8-9D07-41DC-B9D7-733ABF034FF3}" uniqueName="88" name="Column88" totalsRowFunction="custom" queryTableFieldId="88" dataDxfId="2631" totalsRowDxfId="2630">
      <totalsRowFormula>CJ7*1</totalsRowFormula>
    </tableColumn>
    <tableColumn id="89" xr3:uid="{A2775B01-C7D0-4663-9860-B7DAF21DE0E2}" uniqueName="89" name="Column89" totalsRowFunction="custom" queryTableFieldId="89" dataDxfId="2629" totalsRowDxfId="2628">
      <totalsRowFormula>CK7*1</totalsRowFormula>
    </tableColumn>
    <tableColumn id="90" xr3:uid="{5127F889-D5B6-44FA-85BB-80A533E60B37}" uniqueName="90" name="Column90" totalsRowFunction="custom" queryTableFieldId="90" dataDxfId="2627" totalsRowDxfId="2626">
      <totalsRowFormula>CL7*1</totalsRowFormula>
    </tableColumn>
    <tableColumn id="91" xr3:uid="{BF66B352-9936-4331-9D52-023A66B481A2}" uniqueName="91" name="Column91" totalsRowFunction="custom" queryTableFieldId="91" dataDxfId="2625" totalsRowDxfId="2624">
      <totalsRowFormula>CM7*1</totalsRowFormula>
    </tableColumn>
    <tableColumn id="92" xr3:uid="{AA07ECB0-8303-4603-900D-E0933619C820}" uniqueName="92" name="Column92" totalsRowFunction="custom" queryTableFieldId="92" dataDxfId="2623" totalsRowDxfId="2622">
      <totalsRowFormula>CN7*1</totalsRowFormula>
    </tableColumn>
    <tableColumn id="93" xr3:uid="{116C3F03-6FFB-4598-A83D-D0234ED117DC}" uniqueName="93" name="Column93" totalsRowFunction="custom" queryTableFieldId="93" dataDxfId="2621" totalsRowDxfId="2620">
      <totalsRowFormula>CO7*1</totalsRowFormula>
    </tableColumn>
    <tableColumn id="94" xr3:uid="{10AEF5C9-A084-4A8F-B6C9-7EC4043283A4}" uniqueName="94" name="Column94" totalsRowFunction="custom" queryTableFieldId="94" dataDxfId="2619" totalsRowDxfId="2618">
      <totalsRowFormula>CP7*1</totalsRowFormula>
    </tableColumn>
    <tableColumn id="95" xr3:uid="{AB2B2D1C-8079-4130-A665-D77060DE358E}" uniqueName="95" name="Column95" totalsRowFunction="custom" queryTableFieldId="95" dataDxfId="2617" totalsRowDxfId="2616">
      <totalsRowFormula>CQ7*1</totalsRowFormula>
    </tableColumn>
    <tableColumn id="96" xr3:uid="{60BB7CBE-3CD5-4B82-AD3C-CDAE3B1A9DFE}" uniqueName="96" name="Column96" totalsRowFunction="custom" queryTableFieldId="96" dataDxfId="2615" totalsRowDxfId="2614">
      <totalsRowFormula>CR7*1</totalsRowFormula>
    </tableColumn>
    <tableColumn id="97" xr3:uid="{5DB7C1CD-8F67-4F6D-A3A9-707ADC5DFD78}" uniqueName="97" name="Column97" totalsRowFunction="custom" queryTableFieldId="97" dataDxfId="2613" totalsRowDxfId="2612">
      <totalsRowFormula>CS7*1</totalsRowFormula>
    </tableColumn>
    <tableColumn id="98" xr3:uid="{390144A6-D22E-4DF7-BFD7-DE13371A760C}" uniqueName="98" name="Column98" totalsRowFunction="custom" queryTableFieldId="98" dataDxfId="2611" totalsRowDxfId="2610">
      <totalsRowFormula>CT7*1</totalsRowFormula>
    </tableColumn>
    <tableColumn id="99" xr3:uid="{6AFD5D9A-324C-4E5D-A477-96A285FCA4AF}" uniqueName="99" name="Column99" totalsRowFunction="custom" queryTableFieldId="99" dataDxfId="2609" totalsRowDxfId="2608">
      <totalsRowFormula>CU7*1</totalsRowFormula>
    </tableColumn>
    <tableColumn id="100" xr3:uid="{91B1884F-AC87-4E47-AB2C-140577AA21EE}" uniqueName="100" name="Column100" totalsRowFunction="custom" queryTableFieldId="100" dataDxfId="2607" totalsRowDxfId="2606">
      <totalsRowFormula>CV7*1</totalsRowFormula>
    </tableColumn>
    <tableColumn id="101" xr3:uid="{2D881397-5DAD-4B09-B65B-5E9B5379B1A7}" uniqueName="101" name="Column101" totalsRowFunction="custom" queryTableFieldId="101" dataDxfId="2605" totalsRowDxfId="2604">
      <totalsRowFormula>CW7*1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913254-755B-4AEE-B793-85D86E5E8D82}" name="rollMovement__2" displayName="rollMovement__2" ref="A1:CW8" tableType="queryTable" totalsRowCount="1">
  <autoFilter ref="A1:CW7" xr:uid="{34913254-755B-4AEE-B793-85D86E5E8D82}"/>
  <tableColumns count="101">
    <tableColumn id="1" xr3:uid="{4E1333E8-919B-41CB-B661-DE6226E8D4EC}" uniqueName="1" name="Column1" totalsRowFunction="custom" queryTableFieldId="1" dataDxfId="2603" totalsRowDxfId="2602">
      <totalsRowFormula>-A7*10/10</totalsRowFormula>
    </tableColumn>
    <tableColumn id="2" xr3:uid="{67D48333-D17E-44D8-8B6B-8B760A2BD105}" uniqueName="2" name="Column2" totalsRowFunction="custom" queryTableFieldId="2" dataDxfId="2601" totalsRowDxfId="2600">
      <totalsRowFormula>-B7*10/10</totalsRowFormula>
    </tableColumn>
    <tableColumn id="3" xr3:uid="{55605C3C-E207-4919-8214-CDC9D952CC36}" uniqueName="3" name="Column3" totalsRowFunction="custom" queryTableFieldId="3" dataDxfId="2599" totalsRowDxfId="2598">
      <totalsRowFormula>-C7*10/10</totalsRowFormula>
    </tableColumn>
    <tableColumn id="4" xr3:uid="{C9D4C9B6-D1F2-4387-BC66-721054AAFA31}" uniqueName="4" name="Column4" totalsRowFunction="custom" queryTableFieldId="4" dataDxfId="2597" totalsRowDxfId="2596">
      <totalsRowFormula>-D7*10/10</totalsRowFormula>
    </tableColumn>
    <tableColumn id="5" xr3:uid="{07F3FE79-C812-4BC8-8A2A-1310FC4ED0C5}" uniqueName="5" name="Column5" totalsRowFunction="custom" queryTableFieldId="5" dataDxfId="2595" totalsRowDxfId="2594">
      <totalsRowFormula>-E7*10/10</totalsRowFormula>
    </tableColumn>
    <tableColumn id="6" xr3:uid="{1BED61C2-D564-4B08-A160-03EC05F94FFA}" uniqueName="6" name="Column6" totalsRowFunction="custom" queryTableFieldId="6" dataDxfId="2593" totalsRowDxfId="2592">
      <totalsRowFormula>-F7*10/10</totalsRowFormula>
    </tableColumn>
    <tableColumn id="7" xr3:uid="{9637A181-DF6A-4FB6-A634-5DC589E28CE8}" uniqueName="7" name="Column7" totalsRowFunction="custom" queryTableFieldId="7" dataDxfId="2591" totalsRowDxfId="2590">
      <totalsRowFormula>-G7*10/10</totalsRowFormula>
    </tableColumn>
    <tableColumn id="8" xr3:uid="{88F5D994-3496-491F-8D51-376877EB8764}" uniqueName="8" name="Column8" totalsRowFunction="custom" queryTableFieldId="8" dataDxfId="2589" totalsRowDxfId="2588">
      <totalsRowFormula>-H7*10/10</totalsRowFormula>
    </tableColumn>
    <tableColumn id="9" xr3:uid="{50DDCA49-E7CF-4DF0-9B28-7C9CC7FB6827}" uniqueName="9" name="Column9" totalsRowFunction="custom" queryTableFieldId="9" dataDxfId="2587" totalsRowDxfId="2586">
      <totalsRowFormula>-I7*10/10</totalsRowFormula>
    </tableColumn>
    <tableColumn id="10" xr3:uid="{DC7822A5-E3E1-40A3-B5B6-533713AFDC56}" uniqueName="10" name="Column10" totalsRowFunction="custom" queryTableFieldId="10" dataDxfId="2585" totalsRowDxfId="2584">
      <totalsRowFormula>-J7*10/10</totalsRowFormula>
    </tableColumn>
    <tableColumn id="11" xr3:uid="{D71AC5D6-6F19-46DC-B0AA-FE0B52412EEC}" uniqueName="11" name="Column11" totalsRowFunction="custom" queryTableFieldId="11" dataDxfId="2583" totalsRowDxfId="2582">
      <totalsRowFormula>-K7*10/10</totalsRowFormula>
    </tableColumn>
    <tableColumn id="12" xr3:uid="{ABBC8FEE-DB78-49D3-857F-85A241E92010}" uniqueName="12" name="Column12" totalsRowFunction="custom" queryTableFieldId="12" dataDxfId="2581" totalsRowDxfId="2580">
      <totalsRowFormula>-L7*10/10</totalsRowFormula>
    </tableColumn>
    <tableColumn id="13" xr3:uid="{E410FEE1-DDCA-4B56-8AFD-CB4DCAFCFB61}" uniqueName="13" name="Column13" totalsRowFunction="custom" queryTableFieldId="13" dataDxfId="2579" totalsRowDxfId="2578">
      <totalsRowFormula>-M7*10/10</totalsRowFormula>
    </tableColumn>
    <tableColumn id="14" xr3:uid="{D47929E3-61D7-463F-89BB-F0A1D17D5202}" uniqueName="14" name="Column14" totalsRowFunction="custom" queryTableFieldId="14" dataDxfId="2577" totalsRowDxfId="2576">
      <totalsRowFormula>-N7*10/10</totalsRowFormula>
    </tableColumn>
    <tableColumn id="15" xr3:uid="{821899CE-ECBD-4FEE-947C-DDA787030948}" uniqueName="15" name="Column15" totalsRowFunction="custom" queryTableFieldId="15" dataDxfId="2575" totalsRowDxfId="2574">
      <totalsRowFormula>-O7*10/10</totalsRowFormula>
    </tableColumn>
    <tableColumn id="16" xr3:uid="{EC0012A1-A6C2-439C-BB5D-B0A568CDE145}" uniqueName="16" name="Column16" totalsRowFunction="custom" queryTableFieldId="16" dataDxfId="2573" totalsRowDxfId="2572">
      <totalsRowFormula>-P7*10/10</totalsRowFormula>
    </tableColumn>
    <tableColumn id="17" xr3:uid="{6760BF1F-9353-41E3-8429-55E3BF35AED8}" uniqueName="17" name="Column17" totalsRowFunction="custom" queryTableFieldId="17" dataDxfId="2571" totalsRowDxfId="2570">
      <totalsRowFormula>-Q7*10/10</totalsRowFormula>
    </tableColumn>
    <tableColumn id="18" xr3:uid="{320664EA-17D8-48EB-B0E5-FE90692D93CD}" uniqueName="18" name="Column18" totalsRowFunction="custom" queryTableFieldId="18" dataDxfId="2569" totalsRowDxfId="2568">
      <totalsRowFormula>-R7*10/10</totalsRowFormula>
    </tableColumn>
    <tableColumn id="19" xr3:uid="{32F3DBFD-47EE-4379-95A2-783CBDAA8CDD}" uniqueName="19" name="Column19" totalsRowFunction="custom" queryTableFieldId="19" dataDxfId="2567" totalsRowDxfId="2566">
      <totalsRowFormula>-S7*10/10</totalsRowFormula>
    </tableColumn>
    <tableColumn id="20" xr3:uid="{27105DC7-92B7-4A77-8D04-93D24541627C}" uniqueName="20" name="Column20" totalsRowFunction="custom" queryTableFieldId="20" dataDxfId="2565" totalsRowDxfId="2564">
      <totalsRowFormula>-T7*10/10</totalsRowFormula>
    </tableColumn>
    <tableColumn id="21" xr3:uid="{A10B7E90-0414-40F5-A37C-48555081494A}" uniqueName="21" name="Column21" totalsRowFunction="custom" queryTableFieldId="21" dataDxfId="2563" totalsRowDxfId="2562">
      <totalsRowFormula>-U7*10/10</totalsRowFormula>
    </tableColumn>
    <tableColumn id="22" xr3:uid="{0514AE2F-83AB-42AF-8E8C-ED402319509C}" uniqueName="22" name="Column22" totalsRowFunction="custom" queryTableFieldId="22" dataDxfId="2561" totalsRowDxfId="2560">
      <totalsRowFormula>-V7*10/10</totalsRowFormula>
    </tableColumn>
    <tableColumn id="23" xr3:uid="{C798C5A1-158B-405D-AFD8-50FD04BE94AA}" uniqueName="23" name="Column23" totalsRowFunction="custom" queryTableFieldId="23" dataDxfId="2559" totalsRowDxfId="2558">
      <totalsRowFormula>-W7*10/10</totalsRowFormula>
    </tableColumn>
    <tableColumn id="24" xr3:uid="{4A59130C-CAA4-4FC3-9E91-554369FA772C}" uniqueName="24" name="Column24" totalsRowFunction="custom" queryTableFieldId="24" dataDxfId="2557" totalsRowDxfId="2556">
      <totalsRowFormula>-X7*10/10</totalsRowFormula>
    </tableColumn>
    <tableColumn id="25" xr3:uid="{19C6E0A5-E896-4B49-8DF0-EEBF9089D082}" uniqueName="25" name="Column25" totalsRowFunction="custom" queryTableFieldId="25" dataDxfId="2555" totalsRowDxfId="2554">
      <totalsRowFormula>-Y7*10/10</totalsRowFormula>
    </tableColumn>
    <tableColumn id="26" xr3:uid="{77D1A908-C2D6-4672-B777-9207A9E24D0E}" uniqueName="26" name="Column26" totalsRowFunction="custom" queryTableFieldId="26" dataDxfId="2553" totalsRowDxfId="2552">
      <totalsRowFormula>-Z7*10/10</totalsRowFormula>
    </tableColumn>
    <tableColumn id="27" xr3:uid="{698B2B3A-328A-4BB4-BD2B-39CBF9EED92F}" uniqueName="27" name="Column27" totalsRowFunction="custom" queryTableFieldId="27" dataDxfId="2551" totalsRowDxfId="2550">
      <totalsRowFormula>-AA7*10/10</totalsRowFormula>
    </tableColumn>
    <tableColumn id="28" xr3:uid="{46408E1D-131C-4225-87A1-14274EDBFD63}" uniqueName="28" name="Column28" totalsRowFunction="custom" queryTableFieldId="28" dataDxfId="2549" totalsRowDxfId="2548">
      <totalsRowFormula>-AB7*10/10</totalsRowFormula>
    </tableColumn>
    <tableColumn id="29" xr3:uid="{C95B2335-D3AD-46DE-8551-3C16AE85768E}" uniqueName="29" name="Column29" totalsRowFunction="custom" queryTableFieldId="29" dataDxfId="2547" totalsRowDxfId="2546">
      <totalsRowFormula>-AC7*10/10</totalsRowFormula>
    </tableColumn>
    <tableColumn id="30" xr3:uid="{44CD0F9E-0E98-475E-9BE7-AEF281ABD06E}" uniqueName="30" name="Column30" totalsRowFunction="custom" queryTableFieldId="30" dataDxfId="2545" totalsRowDxfId="2544">
      <totalsRowFormula>-AD7*10/10</totalsRowFormula>
    </tableColumn>
    <tableColumn id="31" xr3:uid="{94B56B05-87AE-4DD9-9012-CBDDDFEB2A49}" uniqueName="31" name="Column31" totalsRowFunction="custom" queryTableFieldId="31" dataDxfId="2543" totalsRowDxfId="2542">
      <totalsRowFormula>-AE7*10/10</totalsRowFormula>
    </tableColumn>
    <tableColumn id="32" xr3:uid="{E9D2EC00-C5F5-4B26-BAB9-C140B4D6F7BD}" uniqueName="32" name="Column32" totalsRowFunction="custom" queryTableFieldId="32" dataDxfId="2541" totalsRowDxfId="2540">
      <totalsRowFormula>-AF7*10/10</totalsRowFormula>
    </tableColumn>
    <tableColumn id="33" xr3:uid="{D42D9718-3F3B-4834-9B1B-3B76F090D9B0}" uniqueName="33" name="Column33" totalsRowFunction="custom" queryTableFieldId="33" dataDxfId="2539" totalsRowDxfId="2538">
      <totalsRowFormula>-AG7*10/10</totalsRowFormula>
    </tableColumn>
    <tableColumn id="34" xr3:uid="{2411C1EC-4E96-4A63-B151-56E49C42EDC4}" uniqueName="34" name="Column34" totalsRowFunction="custom" queryTableFieldId="34" dataDxfId="2537" totalsRowDxfId="2536">
      <totalsRowFormula>-AH7*10/10</totalsRowFormula>
    </tableColumn>
    <tableColumn id="35" xr3:uid="{047BAE05-978C-4EA9-8F15-C5E8143FA095}" uniqueName="35" name="Column35" totalsRowFunction="custom" queryTableFieldId="35" dataDxfId="2535" totalsRowDxfId="2534">
      <totalsRowFormula>-AI7*10/10</totalsRowFormula>
    </tableColumn>
    <tableColumn id="36" xr3:uid="{B65890AC-C3DA-490E-86E4-30F5BAB8627B}" uniqueName="36" name="Column36" totalsRowFunction="custom" queryTableFieldId="36" dataDxfId="2533" totalsRowDxfId="2532">
      <totalsRowFormula>-AJ7*10/10</totalsRowFormula>
    </tableColumn>
    <tableColumn id="37" xr3:uid="{79475B6B-2CCC-4E7D-A241-749B25C2E1EA}" uniqueName="37" name="Column37" totalsRowFunction="custom" queryTableFieldId="37" dataDxfId="2531" totalsRowDxfId="2530">
      <totalsRowFormula>-AK7*10/10</totalsRowFormula>
    </tableColumn>
    <tableColumn id="38" xr3:uid="{F545B02B-047A-4027-9ED4-B70B2A59883C}" uniqueName="38" name="Column38" totalsRowFunction="custom" queryTableFieldId="38" dataDxfId="2529" totalsRowDxfId="2528">
      <totalsRowFormula>-AL7*10/10</totalsRowFormula>
    </tableColumn>
    <tableColumn id="39" xr3:uid="{9A02F15D-9968-4888-B72F-94CCB98C3604}" uniqueName="39" name="Column39" totalsRowFunction="custom" queryTableFieldId="39" dataDxfId="2527" totalsRowDxfId="2526">
      <totalsRowFormula>-AM7*10/10</totalsRowFormula>
    </tableColumn>
    <tableColumn id="40" xr3:uid="{285F222D-5EA6-4269-B94B-18CC7F24CFB7}" uniqueName="40" name="Column40" totalsRowFunction="custom" queryTableFieldId="40" dataDxfId="2525" totalsRowDxfId="2524">
      <totalsRowFormula>-AN7*10/10</totalsRowFormula>
    </tableColumn>
    <tableColumn id="41" xr3:uid="{5F5C335F-A691-4ABB-A20A-6A6045643CFC}" uniqueName="41" name="Column41" totalsRowFunction="custom" queryTableFieldId="41" dataDxfId="2523" totalsRowDxfId="2522">
      <totalsRowFormula>-AO7*10/10</totalsRowFormula>
    </tableColumn>
    <tableColumn id="42" xr3:uid="{CE00B82F-7105-4A35-B91C-8A3AEF8E1E54}" uniqueName="42" name="Column42" totalsRowFunction="custom" queryTableFieldId="42" dataDxfId="2521" totalsRowDxfId="2520">
      <totalsRowFormula>-AP7*10/10</totalsRowFormula>
    </tableColumn>
    <tableColumn id="43" xr3:uid="{BC5624EC-856A-4940-9684-48ED7FE0B64D}" uniqueName="43" name="Column43" totalsRowFunction="custom" queryTableFieldId="43" dataDxfId="2519" totalsRowDxfId="2518">
      <totalsRowFormula>-AQ7*10/10</totalsRowFormula>
    </tableColumn>
    <tableColumn id="44" xr3:uid="{C90D62D5-A4EA-4B59-81A2-9635ADA1DEEF}" uniqueName="44" name="Column44" totalsRowFunction="custom" queryTableFieldId="44" dataDxfId="2517" totalsRowDxfId="2516">
      <totalsRowFormula>-AR7*10/10</totalsRowFormula>
    </tableColumn>
    <tableColumn id="45" xr3:uid="{3DFF1606-1040-4B83-AAFE-0B5E0351C71A}" uniqueName="45" name="Column45" totalsRowFunction="custom" queryTableFieldId="45" dataDxfId="2515" totalsRowDxfId="2514">
      <totalsRowFormula>-AS7*10/10</totalsRowFormula>
    </tableColumn>
    <tableColumn id="46" xr3:uid="{CAF532F8-67BC-44CE-A739-B74CAAD29630}" uniqueName="46" name="Column46" totalsRowFunction="custom" queryTableFieldId="46" dataDxfId="2513" totalsRowDxfId="2512">
      <totalsRowFormula>-AT7*10/10</totalsRowFormula>
    </tableColumn>
    <tableColumn id="47" xr3:uid="{6BD3FEDD-3FDE-48A4-902E-8BFAE191EA9C}" uniqueName="47" name="Column47" totalsRowFunction="custom" queryTableFieldId="47" dataDxfId="2511" totalsRowDxfId="2510">
      <totalsRowFormula>-AU7*10/10</totalsRowFormula>
    </tableColumn>
    <tableColumn id="48" xr3:uid="{CCEF5898-D9CF-4C26-987F-3EEC47A9349B}" uniqueName="48" name="Column48" totalsRowFunction="custom" queryTableFieldId="48" dataDxfId="2509" totalsRowDxfId="2508">
      <totalsRowFormula>-AV7*10/10</totalsRowFormula>
    </tableColumn>
    <tableColumn id="49" xr3:uid="{5A974545-429F-4571-977B-4EFCAC66E1BD}" uniqueName="49" name="Column49" totalsRowFunction="custom" queryTableFieldId="49" dataDxfId="2507" totalsRowDxfId="2506">
      <totalsRowFormula>-AW7*10/10</totalsRowFormula>
    </tableColumn>
    <tableColumn id="50" xr3:uid="{899B2D33-70E0-41A4-8503-07DA95BC3D71}" uniqueName="50" name="Column50" totalsRowFunction="custom" queryTableFieldId="50" dataDxfId="2505" totalsRowDxfId="2504">
      <totalsRowFormula>-AX7*10/10</totalsRowFormula>
    </tableColumn>
    <tableColumn id="51" xr3:uid="{C2E6FDCA-F01A-475C-9A60-7323286EE608}" uniqueName="51" name="Column51" totalsRowFunction="custom" queryTableFieldId="51" dataDxfId="2503" totalsRowDxfId="2502">
      <totalsRowFormula>-AY7*10/10</totalsRowFormula>
    </tableColumn>
    <tableColumn id="52" xr3:uid="{AA74D7F9-5EC8-49F2-BD1F-9B59CFB7FF4D}" uniqueName="52" name="Column52" totalsRowFunction="custom" queryTableFieldId="52" dataDxfId="2501" totalsRowDxfId="2500">
      <totalsRowFormula>-AZ7+360</totalsRowFormula>
    </tableColumn>
    <tableColumn id="53" xr3:uid="{687106E5-918A-4105-9F96-BDFD82F74663}" uniqueName="53" name="Column53" totalsRowFunction="custom" queryTableFieldId="53" dataDxfId="2499" totalsRowDxfId="2498">
      <totalsRowFormula>-BA7+360</totalsRowFormula>
    </tableColumn>
    <tableColumn id="54" xr3:uid="{F459DD81-5A8D-4D6B-8780-75E2923C60BA}" uniqueName="54" name="Column54" totalsRowFunction="custom" queryTableFieldId="54" dataDxfId="2497" totalsRowDxfId="2496">
      <totalsRowFormula>-BB7+360</totalsRowFormula>
    </tableColumn>
    <tableColumn id="55" xr3:uid="{897ACE52-A960-413A-8CEC-9A32EC3E704C}" uniqueName="55" name="Column55" totalsRowFunction="custom" queryTableFieldId="55" dataDxfId="2495" totalsRowDxfId="2494">
      <totalsRowFormula>-BC7+360</totalsRowFormula>
    </tableColumn>
    <tableColumn id="56" xr3:uid="{51FF7D06-ABB3-4A8C-A8DA-D8D0A50EAB52}" uniqueName="56" name="Column56" totalsRowFunction="custom" queryTableFieldId="56" dataDxfId="2493" totalsRowDxfId="2492">
      <totalsRowFormula>-BD7+360</totalsRowFormula>
    </tableColumn>
    <tableColumn id="57" xr3:uid="{B2C5E887-21A0-4DE3-95A3-018787A650D9}" uniqueName="57" name="Column57" totalsRowFunction="custom" queryTableFieldId="57" dataDxfId="2491" totalsRowDxfId="2490">
      <totalsRowFormula>-BE7+360</totalsRowFormula>
    </tableColumn>
    <tableColumn id="58" xr3:uid="{6A086CB2-0642-42F3-9C8D-CCCEDF12EBA7}" uniqueName="58" name="Column58" totalsRowFunction="custom" queryTableFieldId="58" dataDxfId="2489" totalsRowDxfId="2488">
      <totalsRowFormula>-BF7+360</totalsRowFormula>
    </tableColumn>
    <tableColumn id="59" xr3:uid="{D351AB26-7D13-447F-BB72-ACDF4483AC72}" uniqueName="59" name="Column59" totalsRowFunction="custom" queryTableFieldId="59" dataDxfId="2487" totalsRowDxfId="2486">
      <totalsRowFormula>-BG7+360</totalsRowFormula>
    </tableColumn>
    <tableColumn id="60" xr3:uid="{BFCD98B3-84A2-44DF-90B4-BB8C93C72F9C}" uniqueName="60" name="Column60" totalsRowFunction="custom" queryTableFieldId="60" dataDxfId="2485" totalsRowDxfId="2484">
      <totalsRowFormula>-BH7+360</totalsRowFormula>
    </tableColumn>
    <tableColumn id="61" xr3:uid="{68A87998-E936-41D2-A324-E44D4048ED9B}" uniqueName="61" name="Column61" totalsRowFunction="custom" queryTableFieldId="61" dataDxfId="2483" totalsRowDxfId="2482">
      <totalsRowFormula>-BI7+360</totalsRowFormula>
    </tableColumn>
    <tableColumn id="62" xr3:uid="{3CC273CA-F2BE-4841-99DF-4BF4A601559D}" uniqueName="62" name="Column62" totalsRowFunction="custom" queryTableFieldId="62" dataDxfId="2481" totalsRowDxfId="2480">
      <totalsRowFormula>-BJ7+360</totalsRowFormula>
    </tableColumn>
    <tableColumn id="63" xr3:uid="{3E287125-58AF-4BB7-A6F3-83485061669D}" uniqueName="63" name="Column63" totalsRowFunction="custom" queryTableFieldId="63" dataDxfId="2479" totalsRowDxfId="2478">
      <totalsRowFormula>-BK7+360</totalsRowFormula>
    </tableColumn>
    <tableColumn id="64" xr3:uid="{2D2FE06A-3472-4FE5-8DA2-43FBA72A8CDA}" uniqueName="64" name="Column64" totalsRowFunction="custom" queryTableFieldId="64" dataDxfId="2477" totalsRowDxfId="2476">
      <totalsRowFormula>-BL7+360</totalsRowFormula>
    </tableColumn>
    <tableColumn id="65" xr3:uid="{B2764A76-DEDA-4019-B996-A40F9E6593EB}" uniqueName="65" name="Column65" totalsRowFunction="custom" queryTableFieldId="65" dataDxfId="2475" totalsRowDxfId="2474">
      <totalsRowFormula>-BM7+360</totalsRowFormula>
    </tableColumn>
    <tableColumn id="66" xr3:uid="{7D2A501B-D5AC-4045-96D9-7208B5966069}" uniqueName="66" name="Column66" totalsRowFunction="custom" queryTableFieldId="66" dataDxfId="2473" totalsRowDxfId="2472">
      <totalsRowFormula>-BN7+360</totalsRowFormula>
    </tableColumn>
    <tableColumn id="67" xr3:uid="{A426D145-BED1-43D3-A1E8-7958DF525E7C}" uniqueName="67" name="Column67" totalsRowFunction="custom" queryTableFieldId="67" dataDxfId="2471" totalsRowDxfId="2470">
      <totalsRowFormula>-BO7+360</totalsRowFormula>
    </tableColumn>
    <tableColumn id="68" xr3:uid="{83ED3E7C-BFF9-4CFC-BE2D-CA8E75751905}" uniqueName="68" name="Column68" totalsRowFunction="custom" queryTableFieldId="68" dataDxfId="2469" totalsRowDxfId="2468">
      <totalsRowFormula>-BP7+360</totalsRowFormula>
    </tableColumn>
    <tableColumn id="69" xr3:uid="{AA868A4C-7911-4AA5-BD66-E2B06D2C25CF}" uniqueName="69" name="Column69" totalsRowFunction="custom" queryTableFieldId="69" dataDxfId="2467" totalsRowDxfId="2466">
      <totalsRowFormula>-BQ7+360</totalsRowFormula>
    </tableColumn>
    <tableColumn id="70" xr3:uid="{8CE00070-97E2-47AD-BB7C-0014B24523ED}" uniqueName="70" name="Column70" totalsRowFunction="custom" queryTableFieldId="70" dataDxfId="2465" totalsRowDxfId="2464">
      <totalsRowFormula>-BR7+360</totalsRowFormula>
    </tableColumn>
    <tableColumn id="71" xr3:uid="{A6B15E05-9F87-4B7A-8D58-21F9FB992889}" uniqueName="71" name="Column71" totalsRowFunction="custom" queryTableFieldId="71" dataDxfId="2463" totalsRowDxfId="2462">
      <totalsRowFormula>-BS7+360</totalsRowFormula>
    </tableColumn>
    <tableColumn id="72" xr3:uid="{C2E0F6FE-880A-4CCC-8D74-D8590FAD56BE}" uniqueName="72" name="Column72" totalsRowFunction="custom" queryTableFieldId="72" dataDxfId="2461" totalsRowDxfId="2460">
      <totalsRowFormula>-BT7+360</totalsRowFormula>
    </tableColumn>
    <tableColumn id="73" xr3:uid="{72BF8531-02EB-4061-A989-3569E63C1CA4}" uniqueName="73" name="Column73" totalsRowFunction="custom" queryTableFieldId="73" dataDxfId="2459" totalsRowDxfId="2458">
      <totalsRowFormula>-BU7+360</totalsRowFormula>
    </tableColumn>
    <tableColumn id="74" xr3:uid="{524765AF-B42B-488F-AE98-E36CCFF499FD}" uniqueName="74" name="Column74" totalsRowFunction="custom" queryTableFieldId="74" dataDxfId="2457" totalsRowDxfId="2456">
      <totalsRowFormula>-BV7+360</totalsRowFormula>
    </tableColumn>
    <tableColumn id="75" xr3:uid="{9D5AC7CE-ED56-4E92-B123-64D48D332943}" uniqueName="75" name="Column75" totalsRowFunction="custom" queryTableFieldId="75" dataDxfId="2455" totalsRowDxfId="2454">
      <totalsRowFormula>-BW7+360</totalsRowFormula>
    </tableColumn>
    <tableColumn id="76" xr3:uid="{7AEF9BA6-ACCE-45D7-91DB-86A0C8F349A3}" uniqueName="76" name="Column76" totalsRowFunction="custom" queryTableFieldId="76" dataDxfId="2453" totalsRowDxfId="2452">
      <totalsRowFormula>-BX7+360</totalsRowFormula>
    </tableColumn>
    <tableColumn id="77" xr3:uid="{3167A2BD-1EF7-4575-89CE-4D44B4E70C06}" uniqueName="77" name="Column77" totalsRowFunction="custom" queryTableFieldId="77" dataDxfId="2451" totalsRowDxfId="2450">
      <totalsRowFormula>-BY7+360</totalsRowFormula>
    </tableColumn>
    <tableColumn id="78" xr3:uid="{80383A66-28B4-4F71-8BC3-39848A43A23C}" uniqueName="78" name="Column78" totalsRowFunction="custom" queryTableFieldId="78" dataDxfId="2449" totalsRowDxfId="2448">
      <totalsRowFormula>-BZ7+360</totalsRowFormula>
    </tableColumn>
    <tableColumn id="79" xr3:uid="{80EC5A4D-39B4-4275-A743-414F18D2C841}" uniqueName="79" name="Column79" totalsRowFunction="custom" queryTableFieldId="79" dataDxfId="2447" totalsRowDxfId="2446">
      <totalsRowFormula>-CA7+360</totalsRowFormula>
    </tableColumn>
    <tableColumn id="80" xr3:uid="{B7042E3E-4712-4B6C-BF5A-BFE18295223B}" uniqueName="80" name="Column80" totalsRowFunction="custom" queryTableFieldId="80" dataDxfId="2445" totalsRowDxfId="2444">
      <totalsRowFormula>-CB7+360</totalsRowFormula>
    </tableColumn>
    <tableColumn id="81" xr3:uid="{E315E0F6-1134-4EF8-8FA7-660E61DE285A}" uniqueName="81" name="Column81" totalsRowFunction="custom" queryTableFieldId="81" dataDxfId="2443" totalsRowDxfId="2442">
      <totalsRowFormula>-CC7+360</totalsRowFormula>
    </tableColumn>
    <tableColumn id="82" xr3:uid="{57A88A59-AE2E-4FEF-B3F8-E541477FB589}" uniqueName="82" name="Column82" totalsRowFunction="custom" queryTableFieldId="82" dataDxfId="2441" totalsRowDxfId="2440">
      <totalsRowFormula>-CD7+360</totalsRowFormula>
    </tableColumn>
    <tableColumn id="83" xr3:uid="{8BD4A740-57DA-4BA6-8362-3AFCB19C544A}" uniqueName="83" name="Column83" totalsRowFunction="custom" queryTableFieldId="83" dataDxfId="2439" totalsRowDxfId="2438">
      <totalsRowFormula>-CE7+360</totalsRowFormula>
    </tableColumn>
    <tableColumn id="84" xr3:uid="{843A4BDD-31D1-4C87-889B-B0AC837B3BAB}" uniqueName="84" name="Column84" totalsRowFunction="custom" queryTableFieldId="84" dataDxfId="2437" totalsRowDxfId="2436">
      <totalsRowFormula>-CF7+360</totalsRowFormula>
    </tableColumn>
    <tableColumn id="85" xr3:uid="{D9C88D56-5E5F-4818-9682-F451F1B95962}" uniqueName="85" name="Column85" totalsRowFunction="custom" queryTableFieldId="85" dataDxfId="2435" totalsRowDxfId="2434">
      <totalsRowFormula>-CG7+360</totalsRowFormula>
    </tableColumn>
    <tableColumn id="86" xr3:uid="{39FA481C-2C47-4A21-BE59-DECC1072E3D1}" uniqueName="86" name="Column86" totalsRowFunction="custom" queryTableFieldId="86" dataDxfId="2433" totalsRowDxfId="2432">
      <totalsRowFormula>-CH7+360</totalsRowFormula>
    </tableColumn>
    <tableColumn id="87" xr3:uid="{3D3E8C3E-CAD7-4D7A-8F04-A4A6E4C8C754}" uniqueName="87" name="Column87" totalsRowFunction="custom" queryTableFieldId="87" dataDxfId="2431" totalsRowDxfId="2430">
      <totalsRowFormula>-CI7+360</totalsRowFormula>
    </tableColumn>
    <tableColumn id="88" xr3:uid="{61526E6E-561E-4BEA-B570-341DEB5378EB}" uniqueName="88" name="Column88" totalsRowFunction="custom" queryTableFieldId="88" dataDxfId="2429" totalsRowDxfId="2428">
      <totalsRowFormula>-CJ7+360</totalsRowFormula>
    </tableColumn>
    <tableColumn id="89" xr3:uid="{B91BD737-9860-4A93-B5F6-F6C3F65847A0}" uniqueName="89" name="Column89" totalsRowFunction="custom" queryTableFieldId="89" dataDxfId="2427" totalsRowDxfId="2426">
      <totalsRowFormula>-CK7+360</totalsRowFormula>
    </tableColumn>
    <tableColumn id="90" xr3:uid="{BF50CC6A-D28B-461E-B380-5C8742F7BE9E}" uniqueName="90" name="Column90" totalsRowFunction="custom" queryTableFieldId="90" dataDxfId="2425" totalsRowDxfId="2424">
      <totalsRowFormula>-CL7+360</totalsRowFormula>
    </tableColumn>
    <tableColumn id="91" xr3:uid="{6791FDC9-800C-4591-B7C0-2D55D05B58AE}" uniqueName="91" name="Column91" totalsRowFunction="custom" queryTableFieldId="91" dataDxfId="2423" totalsRowDxfId="2422">
      <totalsRowFormula>-CM7+360</totalsRowFormula>
    </tableColumn>
    <tableColumn id="92" xr3:uid="{A3784B98-9DE7-4680-BE71-DAB281907555}" uniqueName="92" name="Column92" totalsRowFunction="custom" queryTableFieldId="92" dataDxfId="2421" totalsRowDxfId="2420">
      <totalsRowFormula>-CN7+360</totalsRowFormula>
    </tableColumn>
    <tableColumn id="93" xr3:uid="{CF37402D-1E86-41BE-AA7C-27403842E159}" uniqueName="93" name="Column93" totalsRowFunction="custom" queryTableFieldId="93" dataDxfId="2419" totalsRowDxfId="2418">
      <totalsRowFormula>-CO7+360</totalsRowFormula>
    </tableColumn>
    <tableColumn id="94" xr3:uid="{7C3F494C-2311-4B7C-9C18-6F4C4C00D28D}" uniqueName="94" name="Column94" totalsRowFunction="custom" queryTableFieldId="94" dataDxfId="2417" totalsRowDxfId="2416">
      <totalsRowFormula>-CP7+360</totalsRowFormula>
    </tableColumn>
    <tableColumn id="95" xr3:uid="{8C6ED2AA-6ED7-480D-B95D-54ECFA9E4A91}" uniqueName="95" name="Column95" totalsRowFunction="custom" queryTableFieldId="95" dataDxfId="2415" totalsRowDxfId="2414">
      <totalsRowFormula>-CQ7+360</totalsRowFormula>
    </tableColumn>
    <tableColumn id="96" xr3:uid="{ED8E64E9-89D5-4DF2-A5D3-0DB7B72B7FA5}" uniqueName="96" name="Column96" totalsRowFunction="custom" queryTableFieldId="96" dataDxfId="2413" totalsRowDxfId="2412">
      <totalsRowFormula>-CR7+360</totalsRowFormula>
    </tableColumn>
    <tableColumn id="97" xr3:uid="{42404E27-6C3C-4257-9EF8-D0527572B4BC}" uniqueName="97" name="Column97" totalsRowFunction="custom" queryTableFieldId="97" dataDxfId="2411" totalsRowDxfId="2410">
      <totalsRowFormula>-CS7+360</totalsRowFormula>
    </tableColumn>
    <tableColumn id="98" xr3:uid="{199F762E-482E-45E2-ABEC-BCF94F31CB28}" uniqueName="98" name="Column98" totalsRowFunction="custom" queryTableFieldId="98" dataDxfId="2409" totalsRowDxfId="2408">
      <totalsRowFormula>-CT7+360</totalsRowFormula>
    </tableColumn>
    <tableColumn id="99" xr3:uid="{2AB7A4FB-F986-4FEF-A2F9-7C8802A07EEF}" uniqueName="99" name="Column99" totalsRowFunction="custom" queryTableFieldId="99" dataDxfId="2407" totalsRowDxfId="2406">
      <totalsRowFormula>-CU7+360</totalsRowFormula>
    </tableColumn>
    <tableColumn id="100" xr3:uid="{6EEDD2BB-AB33-4130-A9E1-22E7EB3B42AA}" uniqueName="100" name="Column100" totalsRowFunction="custom" queryTableFieldId="100" dataDxfId="2405" totalsRowDxfId="2404">
      <totalsRowFormula>-CV7+360</totalsRowFormula>
    </tableColumn>
    <tableColumn id="101" xr3:uid="{B9547153-0C51-42E9-8EC5-0284B75DD1CC}" uniqueName="101" name="Column101" totalsRowFunction="custom" queryTableFieldId="101" dataDxfId="2403" totalsRowDxfId="2402">
      <totalsRowFormula>-CW7+360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47817-2C00-4DE3-850A-57E80B55E21B}" name="rollMovement" displayName="rollMovement" ref="A1:CW8" tableType="queryTable" totalsRowCount="1">
  <autoFilter ref="A1:CW7" xr:uid="{1A947817-2C00-4DE3-850A-57E80B55E21B}"/>
  <tableColumns count="101">
    <tableColumn id="1" xr3:uid="{BB678B90-C801-4851-BCFA-456E25F06FDD}" uniqueName="1" name="Column1" totalsRowFunction="custom" queryTableFieldId="1" dataDxfId="2401" totalsRowDxfId="2400">
      <totalsRowFormula>-A7*10/10</totalsRowFormula>
    </tableColumn>
    <tableColumn id="2" xr3:uid="{F95455CB-C367-4471-AFF9-84E5A5E63632}" uniqueName="2" name="Column2" totalsRowFunction="custom" queryTableFieldId="2" dataDxfId="2399" totalsRowDxfId="2398">
      <totalsRowFormula>-B7*10/10</totalsRowFormula>
    </tableColumn>
    <tableColumn id="3" xr3:uid="{F0F414F9-20F4-4051-AD69-FF3E77012E7E}" uniqueName="3" name="Column3" totalsRowFunction="custom" queryTableFieldId="3" dataDxfId="2397" totalsRowDxfId="2396">
      <totalsRowFormula>-C7*10/10</totalsRowFormula>
    </tableColumn>
    <tableColumn id="4" xr3:uid="{E41A5D14-7F2C-4C71-887C-EBCD24282A87}" uniqueName="4" name="Column4" totalsRowFunction="custom" queryTableFieldId="4" dataDxfId="2395" totalsRowDxfId="2394">
      <totalsRowFormula>-D7*10/10</totalsRowFormula>
    </tableColumn>
    <tableColumn id="5" xr3:uid="{95D22244-439C-44F3-AA4F-A60A407E65AC}" uniqueName="5" name="Column5" totalsRowFunction="custom" queryTableFieldId="5" dataDxfId="2393" totalsRowDxfId="2392">
      <totalsRowFormula>-E7*10/10</totalsRowFormula>
    </tableColumn>
    <tableColumn id="6" xr3:uid="{E8447413-7EFA-4B5F-AA47-D36161D93B9E}" uniqueName="6" name="Column6" totalsRowFunction="custom" queryTableFieldId="6" dataDxfId="2391" totalsRowDxfId="2390">
      <totalsRowFormula>-F7*10/10</totalsRowFormula>
    </tableColumn>
    <tableColumn id="7" xr3:uid="{C2010CBB-A8E3-453F-B266-9A1129FEFEAD}" uniqueName="7" name="Column7" totalsRowFunction="custom" queryTableFieldId="7" dataDxfId="2389" totalsRowDxfId="2388">
      <totalsRowFormula>-G7*10/10</totalsRowFormula>
    </tableColumn>
    <tableColumn id="8" xr3:uid="{24C0734B-0D63-446D-A219-622674189CAC}" uniqueName="8" name="Column8" totalsRowFunction="custom" queryTableFieldId="8" dataDxfId="2387" totalsRowDxfId="2386">
      <totalsRowFormula>-H7*10/10</totalsRowFormula>
    </tableColumn>
    <tableColumn id="9" xr3:uid="{9AF5B9F7-289D-44C5-A084-325DEE5A4E63}" uniqueName="9" name="Column9" totalsRowFunction="custom" queryTableFieldId="9" dataDxfId="2385" totalsRowDxfId="2384">
      <totalsRowFormula>-I7*10/10</totalsRowFormula>
    </tableColumn>
    <tableColumn id="10" xr3:uid="{D9C8DE0B-B769-4C4B-901C-6CDC2C9F9DFA}" uniqueName="10" name="Column10" totalsRowFunction="custom" queryTableFieldId="10" dataDxfId="2383" totalsRowDxfId="2382">
      <totalsRowFormula>-J7*10/10</totalsRowFormula>
    </tableColumn>
    <tableColumn id="11" xr3:uid="{970C8A7A-CC71-4755-BEAB-4197D5E353F7}" uniqueName="11" name="Column11" totalsRowFunction="custom" queryTableFieldId="11" dataDxfId="2381" totalsRowDxfId="2380">
      <totalsRowFormula>-K7*10/10</totalsRowFormula>
    </tableColumn>
    <tableColumn id="12" xr3:uid="{06CC1D4E-E961-4C42-A3DB-66F8E39EFE51}" uniqueName="12" name="Column12" totalsRowFunction="custom" queryTableFieldId="12" dataDxfId="2379" totalsRowDxfId="2378">
      <totalsRowFormula>-L7*10/10</totalsRowFormula>
    </tableColumn>
    <tableColumn id="13" xr3:uid="{62269544-2A68-4921-8FCE-8C21D98BE37E}" uniqueName="13" name="Column13" totalsRowFunction="custom" queryTableFieldId="13" dataDxfId="2377" totalsRowDxfId="2376">
      <totalsRowFormula>-M7*10/10</totalsRowFormula>
    </tableColumn>
    <tableColumn id="14" xr3:uid="{0171EB5B-260D-42D1-B1BB-EB9F00031CF1}" uniqueName="14" name="Column14" totalsRowFunction="custom" queryTableFieldId="14" dataDxfId="2375" totalsRowDxfId="2374">
      <totalsRowFormula>-N7*10/10</totalsRowFormula>
    </tableColumn>
    <tableColumn id="15" xr3:uid="{DDE80534-0856-4CAD-B779-D49F7467BC2C}" uniqueName="15" name="Column15" totalsRowFunction="custom" queryTableFieldId="15" dataDxfId="2373" totalsRowDxfId="2372">
      <totalsRowFormula>-O7*10/10</totalsRowFormula>
    </tableColumn>
    <tableColumn id="16" xr3:uid="{2EC78C40-CDF9-4EDC-A3E0-9BBE4B2EFD88}" uniqueName="16" name="Column16" totalsRowFunction="custom" queryTableFieldId="16" dataDxfId="2371" totalsRowDxfId="2370">
      <totalsRowFormula>-P7*10/10</totalsRowFormula>
    </tableColumn>
    <tableColumn id="17" xr3:uid="{721A13F0-D6F1-4AAF-BAB9-7AAB8BE29732}" uniqueName="17" name="Column17" totalsRowFunction="custom" queryTableFieldId="17" dataDxfId="2369" totalsRowDxfId="2368">
      <totalsRowFormula>-Q7*10/10</totalsRowFormula>
    </tableColumn>
    <tableColumn id="18" xr3:uid="{7E007D25-E86A-4CD8-84F8-9C54D9167308}" uniqueName="18" name="Column18" totalsRowFunction="custom" queryTableFieldId="18" dataDxfId="2367" totalsRowDxfId="2366">
      <totalsRowFormula>-R7*10/10</totalsRowFormula>
    </tableColumn>
    <tableColumn id="19" xr3:uid="{18545A64-169A-4299-929A-9DD41EAF6849}" uniqueName="19" name="Column19" totalsRowFunction="custom" queryTableFieldId="19" dataDxfId="2365" totalsRowDxfId="2364">
      <totalsRowFormula>-S7*10/10</totalsRowFormula>
    </tableColumn>
    <tableColumn id="20" xr3:uid="{42B37235-DBE2-4953-BF20-67E030E820C3}" uniqueName="20" name="Column20" totalsRowFunction="custom" queryTableFieldId="20" dataDxfId="2363" totalsRowDxfId="2362">
      <totalsRowFormula>-T7*10/10</totalsRowFormula>
    </tableColumn>
    <tableColumn id="21" xr3:uid="{47D1F642-498F-4A70-84E3-60ED5777A5C1}" uniqueName="21" name="Column21" totalsRowFunction="custom" queryTableFieldId="21" dataDxfId="2361" totalsRowDxfId="2360">
      <totalsRowFormula>-U7*10/10</totalsRowFormula>
    </tableColumn>
    <tableColumn id="22" xr3:uid="{B1CF38F7-E6A3-48E4-93F0-A36D02361E9C}" uniqueName="22" name="Column22" totalsRowFunction="custom" queryTableFieldId="22" dataDxfId="2359" totalsRowDxfId="2358">
      <totalsRowFormula>-V7*10/10</totalsRowFormula>
    </tableColumn>
    <tableColumn id="23" xr3:uid="{5130EC68-A2CF-4579-8A93-E913EFC546AF}" uniqueName="23" name="Column23" totalsRowFunction="custom" queryTableFieldId="23" dataDxfId="2357" totalsRowDxfId="2356">
      <totalsRowFormula>-W7*10/10</totalsRowFormula>
    </tableColumn>
    <tableColumn id="24" xr3:uid="{47467418-E0FA-41E7-A079-7FB2E2D71B80}" uniqueName="24" name="Column24" totalsRowFunction="custom" queryTableFieldId="24" dataDxfId="2355" totalsRowDxfId="2354">
      <totalsRowFormula>-X7*10/10</totalsRowFormula>
    </tableColumn>
    <tableColumn id="25" xr3:uid="{E58CF227-2976-4EE5-9FC1-C904CAFF28D1}" uniqueName="25" name="Column25" totalsRowFunction="custom" queryTableFieldId="25" dataDxfId="2353" totalsRowDxfId="2352">
      <totalsRowFormula>-Y7*10/10</totalsRowFormula>
    </tableColumn>
    <tableColumn id="26" xr3:uid="{8D25B0A1-2B41-4D83-9CD0-D67A3750A3DD}" uniqueName="26" name="Column26" totalsRowFunction="custom" queryTableFieldId="26" dataDxfId="2351" totalsRowDxfId="2350">
      <totalsRowFormula>-Z7*10/10</totalsRowFormula>
    </tableColumn>
    <tableColumn id="27" xr3:uid="{4F286F34-60BF-40CD-9970-11FB7880DB87}" uniqueName="27" name="Column27" totalsRowFunction="custom" queryTableFieldId="27" dataDxfId="2349" totalsRowDxfId="2348">
      <totalsRowFormula>-AA7*10/10</totalsRowFormula>
    </tableColumn>
    <tableColumn id="28" xr3:uid="{85CF5A98-A3F4-44AB-97C6-D12BBA6D8112}" uniqueName="28" name="Column28" totalsRowFunction="custom" queryTableFieldId="28" dataDxfId="2347" totalsRowDxfId="2346">
      <totalsRowFormula>-AB7*10/10</totalsRowFormula>
    </tableColumn>
    <tableColumn id="29" xr3:uid="{61C66748-506D-434B-BBDE-BA1367E603BE}" uniqueName="29" name="Column29" totalsRowFunction="custom" queryTableFieldId="29" dataDxfId="2345" totalsRowDxfId="2344">
      <totalsRowFormula>-AC7*10/10</totalsRowFormula>
    </tableColumn>
    <tableColumn id="30" xr3:uid="{F7172558-7D7D-415F-A389-392BFDFE8B80}" uniqueName="30" name="Column30" totalsRowFunction="custom" queryTableFieldId="30" dataDxfId="2343" totalsRowDxfId="2342">
      <totalsRowFormula>-AD7*10/10</totalsRowFormula>
    </tableColumn>
    <tableColumn id="31" xr3:uid="{A229B511-6881-44F4-B3D4-FA5924BA52D8}" uniqueName="31" name="Column31" totalsRowFunction="custom" queryTableFieldId="31" dataDxfId="2341" totalsRowDxfId="2340">
      <totalsRowFormula>-AE7*10/10</totalsRowFormula>
    </tableColumn>
    <tableColumn id="32" xr3:uid="{7C5040D7-A929-4988-84EE-1A62823911A3}" uniqueName="32" name="Column32" totalsRowFunction="custom" queryTableFieldId="32" dataDxfId="2339" totalsRowDxfId="2338">
      <totalsRowFormula>-AF7*10/10</totalsRowFormula>
    </tableColumn>
    <tableColumn id="33" xr3:uid="{5720AB5C-D3B7-4A7E-A952-F3AE7B73B547}" uniqueName="33" name="Column33" totalsRowFunction="custom" queryTableFieldId="33" dataDxfId="2337" totalsRowDxfId="2336">
      <totalsRowFormula>-AG7*10/10</totalsRowFormula>
    </tableColumn>
    <tableColumn id="34" xr3:uid="{ADE9861D-045F-4B99-974A-DA648DC13200}" uniqueName="34" name="Column34" totalsRowFunction="custom" queryTableFieldId="34" dataDxfId="2335" totalsRowDxfId="2334">
      <totalsRowFormula>-AH7*10/10</totalsRowFormula>
    </tableColumn>
    <tableColumn id="35" xr3:uid="{F1E16A70-8BE3-439F-B982-7F2EB6262371}" uniqueName="35" name="Column35" totalsRowFunction="custom" queryTableFieldId="35" dataDxfId="2333" totalsRowDxfId="2332">
      <totalsRowFormula>-AI7*10/10</totalsRowFormula>
    </tableColumn>
    <tableColumn id="36" xr3:uid="{64FE8DAD-E04F-4374-B31C-93109842D926}" uniqueName="36" name="Column36" totalsRowFunction="custom" queryTableFieldId="36" dataDxfId="2331" totalsRowDxfId="2330">
      <totalsRowFormula>-AJ7*10/10</totalsRowFormula>
    </tableColumn>
    <tableColumn id="37" xr3:uid="{E073B684-2EEA-49AB-9A6B-B4DF2A88F7E2}" uniqueName="37" name="Column37" totalsRowFunction="custom" queryTableFieldId="37" dataDxfId="2329" totalsRowDxfId="2328">
      <totalsRowFormula>-AK7*10/10</totalsRowFormula>
    </tableColumn>
    <tableColumn id="38" xr3:uid="{381BC42D-221F-4B4B-A745-E23383F4F937}" uniqueName="38" name="Column38" totalsRowFunction="custom" queryTableFieldId="38" dataDxfId="2327" totalsRowDxfId="2326">
      <totalsRowFormula>-AL7*10/10</totalsRowFormula>
    </tableColumn>
    <tableColumn id="39" xr3:uid="{4382DACA-B561-4648-BDA0-4717248C6848}" uniqueName="39" name="Column39" totalsRowFunction="custom" queryTableFieldId="39" dataDxfId="2325" totalsRowDxfId="2324">
      <totalsRowFormula>-AM7*10/10</totalsRowFormula>
    </tableColumn>
    <tableColumn id="40" xr3:uid="{46CE70B4-D15A-44F1-BBDA-36A03ECF9D1D}" uniqueName="40" name="Column40" totalsRowFunction="custom" queryTableFieldId="40" dataDxfId="2323" totalsRowDxfId="2322">
      <totalsRowFormula>-AN7*10/10</totalsRowFormula>
    </tableColumn>
    <tableColumn id="41" xr3:uid="{079144FB-3BC5-4637-AE44-7827A7A55275}" uniqueName="41" name="Column41" totalsRowFunction="custom" queryTableFieldId="41" dataDxfId="2321" totalsRowDxfId="2320">
      <totalsRowFormula>-AO7*10/10</totalsRowFormula>
    </tableColumn>
    <tableColumn id="42" xr3:uid="{C5DEDDB3-1DC9-47BB-AC57-D314C495E7B0}" uniqueName="42" name="Column42" totalsRowFunction="custom" queryTableFieldId="42" dataDxfId="2319" totalsRowDxfId="2318">
      <totalsRowFormula>-AP7*10/10</totalsRowFormula>
    </tableColumn>
    <tableColumn id="43" xr3:uid="{36509D0B-48FA-4D82-8EE7-756CEA7DD3CD}" uniqueName="43" name="Column43" totalsRowFunction="custom" queryTableFieldId="43" dataDxfId="2317" totalsRowDxfId="2316">
      <totalsRowFormula>-AQ7*10/10</totalsRowFormula>
    </tableColumn>
    <tableColumn id="44" xr3:uid="{FE9B57AB-C5B9-4036-8C0F-57B54B2730AA}" uniqueName="44" name="Column44" totalsRowFunction="custom" queryTableFieldId="44" dataDxfId="2315" totalsRowDxfId="2314">
      <totalsRowFormula>-AR7*10/10</totalsRowFormula>
    </tableColumn>
    <tableColumn id="45" xr3:uid="{4835A8E9-F0D2-4BDE-9CAA-FDAB7C508366}" uniqueName="45" name="Column45" totalsRowFunction="custom" queryTableFieldId="45" dataDxfId="2313" totalsRowDxfId="2312">
      <totalsRowFormula>-AS7*10/10</totalsRowFormula>
    </tableColumn>
    <tableColumn id="46" xr3:uid="{19CDABE4-577C-42AB-9B46-8473015F5A15}" uniqueName="46" name="Column46" totalsRowFunction="custom" queryTableFieldId="46" dataDxfId="2311" totalsRowDxfId="2310">
      <totalsRowFormula>-AT7*10/10</totalsRowFormula>
    </tableColumn>
    <tableColumn id="47" xr3:uid="{8A471E00-8ED6-4B51-AB40-92C90780689E}" uniqueName="47" name="Column47" totalsRowFunction="custom" queryTableFieldId="47" dataDxfId="2309" totalsRowDxfId="2308">
      <totalsRowFormula>-AU7*10/10</totalsRowFormula>
    </tableColumn>
    <tableColumn id="48" xr3:uid="{94A27E57-3D81-4A47-953F-0C40AC27FFED}" uniqueName="48" name="Column48" totalsRowFunction="custom" queryTableFieldId="48" dataDxfId="2307" totalsRowDxfId="2306">
      <totalsRowFormula>-AV7*10/10</totalsRowFormula>
    </tableColumn>
    <tableColumn id="49" xr3:uid="{9B78491E-47B5-4093-BB5B-B74CFA66D50C}" uniqueName="49" name="Column49" totalsRowFunction="custom" queryTableFieldId="49" dataDxfId="2305" totalsRowDxfId="2304">
      <totalsRowFormula>-AW7*10/10</totalsRowFormula>
    </tableColumn>
    <tableColumn id="50" xr3:uid="{9204C9BB-2BB8-4426-A96D-5220401A5A81}" uniqueName="50" name="Column50" totalsRowFunction="custom" queryTableFieldId="50" dataDxfId="2303" totalsRowDxfId="2302">
      <totalsRowFormula>-AX7*10/10</totalsRowFormula>
    </tableColumn>
    <tableColumn id="51" xr3:uid="{829F17B7-F599-4A8C-AC83-199E6D9915C8}" uniqueName="51" name="Column51" totalsRowFunction="custom" queryTableFieldId="51" dataDxfId="2301" totalsRowDxfId="2300">
      <totalsRowFormula>-AY7+360</totalsRowFormula>
    </tableColumn>
    <tableColumn id="52" xr3:uid="{4A2B7032-0937-4EB6-B117-F3888947DF60}" uniqueName="52" name="Column52" totalsRowFunction="custom" queryTableFieldId="52" dataDxfId="2299" totalsRowDxfId="2298">
      <totalsRowFormula>-AZ7+360</totalsRowFormula>
    </tableColumn>
    <tableColumn id="53" xr3:uid="{396FCB1A-F4DC-4676-AE90-98E7107F0EC4}" uniqueName="53" name="Column53" totalsRowFunction="custom" queryTableFieldId="53" dataDxfId="2297" totalsRowDxfId="2296">
      <totalsRowFormula>-BA7+360</totalsRowFormula>
    </tableColumn>
    <tableColumn id="54" xr3:uid="{E81F262C-B518-4549-AA19-FC640AB78E72}" uniqueName="54" name="Column54" totalsRowFunction="custom" queryTableFieldId="54" dataDxfId="2295" totalsRowDxfId="2294">
      <totalsRowFormula>-BB7+360</totalsRowFormula>
    </tableColumn>
    <tableColumn id="55" xr3:uid="{E7E9FCDC-F721-43A2-A188-A3E04055AE87}" uniqueName="55" name="Column55" totalsRowFunction="custom" queryTableFieldId="55" dataDxfId="2293" totalsRowDxfId="2292">
      <totalsRowFormula>-BC7+360</totalsRowFormula>
    </tableColumn>
    <tableColumn id="56" xr3:uid="{53ABFB7C-F839-45DE-BD2D-B954EDED064C}" uniqueName="56" name="Column56" totalsRowFunction="custom" queryTableFieldId="56" dataDxfId="2291" totalsRowDxfId="2290">
      <totalsRowFormula>-BD7+360</totalsRowFormula>
    </tableColumn>
    <tableColumn id="57" xr3:uid="{41925073-3622-46E5-B2B5-BF21C884D77B}" uniqueName="57" name="Column57" totalsRowFunction="custom" queryTableFieldId="57" dataDxfId="2289" totalsRowDxfId="2288">
      <totalsRowFormula>-BE7+360</totalsRowFormula>
    </tableColumn>
    <tableColumn id="58" xr3:uid="{6B91C862-9980-4E3D-98E5-809052DDB6D9}" uniqueName="58" name="Column58" totalsRowFunction="custom" queryTableFieldId="58" dataDxfId="2287" totalsRowDxfId="2286">
      <totalsRowFormula>-BF7+360</totalsRowFormula>
    </tableColumn>
    <tableColumn id="59" xr3:uid="{2B109403-D2C3-45A5-9D79-5AF010E88A93}" uniqueName="59" name="Column59" totalsRowFunction="custom" queryTableFieldId="59" dataDxfId="2285" totalsRowDxfId="2284">
      <totalsRowFormula>-BG7+360</totalsRowFormula>
    </tableColumn>
    <tableColumn id="60" xr3:uid="{30BA2E1E-5801-4D6C-A42E-8FCCAFEB146C}" uniqueName="60" name="Column60" totalsRowFunction="custom" queryTableFieldId="60" dataDxfId="2283" totalsRowDxfId="2282">
      <totalsRowFormula>-BH7+360</totalsRowFormula>
    </tableColumn>
    <tableColumn id="61" xr3:uid="{7AF501F3-DF79-4EFA-A768-824D82352A2A}" uniqueName="61" name="Column61" totalsRowFunction="custom" queryTableFieldId="61" dataDxfId="2281" totalsRowDxfId="2280">
      <totalsRowFormula>-BI7+360</totalsRowFormula>
    </tableColumn>
    <tableColumn id="62" xr3:uid="{B8FE691F-D8F0-4AE9-833C-A51F3EBE027A}" uniqueName="62" name="Column62" totalsRowFunction="custom" queryTableFieldId="62" dataDxfId="2279" totalsRowDxfId="2278">
      <totalsRowFormula>-BJ7+360</totalsRowFormula>
    </tableColumn>
    <tableColumn id="63" xr3:uid="{C466BD19-F6BE-45EC-AC58-013A9B5F6BB4}" uniqueName="63" name="Column63" totalsRowFunction="custom" queryTableFieldId="63" dataDxfId="2277" totalsRowDxfId="2276">
      <totalsRowFormula>-BK7+360</totalsRowFormula>
    </tableColumn>
    <tableColumn id="64" xr3:uid="{E6E38C27-78FE-4841-8E9A-C2252F9878B2}" uniqueName="64" name="Column64" totalsRowFunction="custom" queryTableFieldId="64" dataDxfId="2275" totalsRowDxfId="2274">
      <totalsRowFormula>-BL7+360</totalsRowFormula>
    </tableColumn>
    <tableColumn id="65" xr3:uid="{D8DB3F50-A349-404B-8242-53023CF4DDB6}" uniqueName="65" name="Column65" totalsRowFunction="custom" queryTableFieldId="65" dataDxfId="2273" totalsRowDxfId="2272">
      <totalsRowFormula>-BM7+360</totalsRowFormula>
    </tableColumn>
    <tableColumn id="66" xr3:uid="{241C98EA-A83C-459D-81AA-BA1E0B1E9619}" uniqueName="66" name="Column66" totalsRowFunction="custom" queryTableFieldId="66" dataDxfId="2271" totalsRowDxfId="2270">
      <totalsRowFormula>-BN7+360</totalsRowFormula>
    </tableColumn>
    <tableColumn id="67" xr3:uid="{756D24C1-B786-4CB1-B1C2-E167FD517CB9}" uniqueName="67" name="Column67" totalsRowFunction="custom" queryTableFieldId="67" dataDxfId="2269" totalsRowDxfId="2268">
      <totalsRowFormula>-BO7+360</totalsRowFormula>
    </tableColumn>
    <tableColumn id="68" xr3:uid="{FFB2BB2B-79ED-476D-97FA-48462115953B}" uniqueName="68" name="Column68" totalsRowFunction="custom" queryTableFieldId="68" dataDxfId="2267" totalsRowDxfId="2266">
      <totalsRowFormula>-BP7+360</totalsRowFormula>
    </tableColumn>
    <tableColumn id="69" xr3:uid="{5A8363FC-B073-404A-AEED-F9DBAD911EAE}" uniqueName="69" name="Column69" totalsRowFunction="custom" queryTableFieldId="69" dataDxfId="2265" totalsRowDxfId="2264">
      <totalsRowFormula>-BQ7+360</totalsRowFormula>
    </tableColumn>
    <tableColumn id="70" xr3:uid="{FE67D3B0-286A-40D7-8285-BFAE04DE73A5}" uniqueName="70" name="Column70" totalsRowFunction="custom" queryTableFieldId="70" dataDxfId="2263" totalsRowDxfId="2262">
      <totalsRowFormula>-BR7+360</totalsRowFormula>
    </tableColumn>
    <tableColumn id="71" xr3:uid="{632477E2-CAF7-4108-89D0-01CADC5B199B}" uniqueName="71" name="Column71" totalsRowFunction="custom" queryTableFieldId="71" dataDxfId="2261" totalsRowDxfId="2260">
      <totalsRowFormula>-BS7+360</totalsRowFormula>
    </tableColumn>
    <tableColumn id="72" xr3:uid="{58312C31-1EFA-4AC2-80DA-5E9D6B7F506F}" uniqueName="72" name="Column72" totalsRowFunction="custom" queryTableFieldId="72" dataDxfId="2259" totalsRowDxfId="2258">
      <totalsRowFormula>-BT7+360</totalsRowFormula>
    </tableColumn>
    <tableColumn id="73" xr3:uid="{9986404E-E7DD-491D-8CF6-6F79BAE8FC08}" uniqueName="73" name="Column73" totalsRowFunction="custom" queryTableFieldId="73" dataDxfId="2257" totalsRowDxfId="2256">
      <totalsRowFormula>-BU7+360</totalsRowFormula>
    </tableColumn>
    <tableColumn id="74" xr3:uid="{0A25BDDC-592E-4233-801F-92571E8BFD43}" uniqueName="74" name="Column74" totalsRowFunction="custom" queryTableFieldId="74" dataDxfId="2255" totalsRowDxfId="2254">
      <totalsRowFormula>-BV7+360</totalsRowFormula>
    </tableColumn>
    <tableColumn id="75" xr3:uid="{3CB1302D-CD99-48EB-A340-795749E200D8}" uniqueName="75" name="Column75" totalsRowFunction="custom" queryTableFieldId="75" dataDxfId="2253" totalsRowDxfId="2252">
      <totalsRowFormula>-BW7+360</totalsRowFormula>
    </tableColumn>
    <tableColumn id="76" xr3:uid="{72E81B22-9D69-4B10-91D8-F61D5C58D756}" uniqueName="76" name="Column76" totalsRowFunction="custom" queryTableFieldId="76" dataDxfId="2251" totalsRowDxfId="2250">
      <totalsRowFormula>-BX7+360</totalsRowFormula>
    </tableColumn>
    <tableColumn id="77" xr3:uid="{D5D25AE1-1C7F-4533-8272-083A58D675B6}" uniqueName="77" name="Column77" totalsRowFunction="custom" queryTableFieldId="77" dataDxfId="2249" totalsRowDxfId="2248">
      <totalsRowFormula>-BY7+360</totalsRowFormula>
    </tableColumn>
    <tableColumn id="78" xr3:uid="{F5D92549-B7F7-46B7-AB50-35D2195D01CB}" uniqueName="78" name="Column78" totalsRowFunction="custom" queryTableFieldId="78" dataDxfId="2247" totalsRowDxfId="2246">
      <totalsRowFormula>-BZ7+360</totalsRowFormula>
    </tableColumn>
    <tableColumn id="79" xr3:uid="{762D48ED-A7D7-4614-9829-49D3194082E5}" uniqueName="79" name="Column79" totalsRowFunction="custom" queryTableFieldId="79" dataDxfId="2245" totalsRowDxfId="2244">
      <totalsRowFormula>-CA7+360</totalsRowFormula>
    </tableColumn>
    <tableColumn id="80" xr3:uid="{07EBAF34-1260-46FC-BBD0-36A1D6842FC4}" uniqueName="80" name="Column80" totalsRowFunction="custom" queryTableFieldId="80" dataDxfId="2243" totalsRowDxfId="2242">
      <totalsRowFormula>-CB7+360</totalsRowFormula>
    </tableColumn>
    <tableColumn id="81" xr3:uid="{44E82147-A9CD-45C6-9D12-E2E273244172}" uniqueName="81" name="Column81" totalsRowFunction="custom" queryTableFieldId="81" dataDxfId="2241" totalsRowDxfId="2240">
      <totalsRowFormula>-CC7+360</totalsRowFormula>
    </tableColumn>
    <tableColumn id="82" xr3:uid="{3F826D93-D250-4001-9715-EE9076CCDD77}" uniqueName="82" name="Column82" totalsRowFunction="custom" queryTableFieldId="82" dataDxfId="2239" totalsRowDxfId="2238">
      <totalsRowFormula>-CD7+360</totalsRowFormula>
    </tableColumn>
    <tableColumn id="83" xr3:uid="{435B3C90-24DF-4F76-9F34-E980173A7C68}" uniqueName="83" name="Column83" totalsRowFunction="custom" queryTableFieldId="83" dataDxfId="2237" totalsRowDxfId="2236">
      <totalsRowFormula>-CE7+360</totalsRowFormula>
    </tableColumn>
    <tableColumn id="84" xr3:uid="{1F80D767-F2CE-4127-A456-3D4FA62F7587}" uniqueName="84" name="Column84" totalsRowFunction="custom" queryTableFieldId="84" dataDxfId="2235" totalsRowDxfId="2234">
      <totalsRowFormula>-CF7+360</totalsRowFormula>
    </tableColumn>
    <tableColumn id="85" xr3:uid="{A089AF6D-2BFF-46D7-814F-645F3B5F199C}" uniqueName="85" name="Column85" totalsRowFunction="custom" queryTableFieldId="85" dataDxfId="2233" totalsRowDxfId="2232">
      <totalsRowFormula>-CG7+360</totalsRowFormula>
    </tableColumn>
    <tableColumn id="86" xr3:uid="{68062C5D-5E5D-49F4-B23C-684E947BC01C}" uniqueName="86" name="Column86" totalsRowFunction="custom" queryTableFieldId="86" dataDxfId="2231" totalsRowDxfId="2230">
      <totalsRowFormula>-CH7+360</totalsRowFormula>
    </tableColumn>
    <tableColumn id="87" xr3:uid="{32223E6A-763F-4F7B-8B55-3B334686AA15}" uniqueName="87" name="Column87" totalsRowFunction="custom" queryTableFieldId="87" dataDxfId="2229" totalsRowDxfId="2228">
      <totalsRowFormula>-CI7+360</totalsRowFormula>
    </tableColumn>
    <tableColumn id="88" xr3:uid="{D0159F46-7752-493E-A369-DEB54A72173C}" uniqueName="88" name="Column88" totalsRowFunction="custom" queryTableFieldId="88" dataDxfId="2227" totalsRowDxfId="2226">
      <totalsRowFormula>-CJ7+360</totalsRowFormula>
    </tableColumn>
    <tableColumn id="89" xr3:uid="{3A05D521-AFA5-4EDF-8DBC-13A6CFF0F3DC}" uniqueName="89" name="Column89" totalsRowFunction="custom" queryTableFieldId="89" dataDxfId="2225" totalsRowDxfId="2224">
      <totalsRowFormula>-CK7+360</totalsRowFormula>
    </tableColumn>
    <tableColumn id="90" xr3:uid="{0619015E-FC5D-4565-8B95-24BBD11F3F4B}" uniqueName="90" name="Column90" totalsRowFunction="custom" queryTableFieldId="90" dataDxfId="2223" totalsRowDxfId="2222">
      <totalsRowFormula>-CL7+360</totalsRowFormula>
    </tableColumn>
    <tableColumn id="91" xr3:uid="{5A11F31F-14C3-4C0B-8C58-581061EB894D}" uniqueName="91" name="Column91" totalsRowFunction="custom" queryTableFieldId="91" dataDxfId="2221" totalsRowDxfId="2220">
      <totalsRowFormula>-CM7+360</totalsRowFormula>
    </tableColumn>
    <tableColumn id="92" xr3:uid="{A6B5C3A4-6407-4376-ACF8-B274A752BB0B}" uniqueName="92" name="Column92" totalsRowFunction="custom" queryTableFieldId="92" dataDxfId="2219" totalsRowDxfId="2218">
      <totalsRowFormula>-CN7+360</totalsRowFormula>
    </tableColumn>
    <tableColumn id="93" xr3:uid="{7B072B9B-A4FA-4B3A-A9EA-04814B91C3DC}" uniqueName="93" name="Column93" totalsRowFunction="custom" queryTableFieldId="93" dataDxfId="2217" totalsRowDxfId="2216">
      <totalsRowFormula>-CO7+360</totalsRowFormula>
    </tableColumn>
    <tableColumn id="94" xr3:uid="{651AD814-BC7A-4F52-BDA4-E48CA9DBBD59}" uniqueName="94" name="Column94" totalsRowFunction="custom" queryTableFieldId="94" dataDxfId="2215" totalsRowDxfId="2214">
      <totalsRowFormula>-CP7+360</totalsRowFormula>
    </tableColumn>
    <tableColumn id="95" xr3:uid="{0AC3871C-27C9-4543-8BB9-00946878AB34}" uniqueName="95" name="Column95" totalsRowFunction="custom" queryTableFieldId="95" dataDxfId="2213" totalsRowDxfId="2212">
      <totalsRowFormula>-CQ7+360</totalsRowFormula>
    </tableColumn>
    <tableColumn id="96" xr3:uid="{F1E66BB6-8EB6-40CB-BD6B-4B37BF644718}" uniqueName="96" name="Column96" totalsRowFunction="custom" queryTableFieldId="96" dataDxfId="2211" totalsRowDxfId="2210">
      <totalsRowFormula>-CR7+360</totalsRowFormula>
    </tableColumn>
    <tableColumn id="97" xr3:uid="{23C50D93-84EA-4254-808D-7C1CF203F668}" uniqueName="97" name="Column97" totalsRowFunction="custom" queryTableFieldId="97" dataDxfId="2209" totalsRowDxfId="2208">
      <totalsRowFormula>-CS7+360</totalsRowFormula>
    </tableColumn>
    <tableColumn id="98" xr3:uid="{9EF0ECF4-ED20-4FDC-AE7A-9A840294CEF0}" uniqueName="98" name="Column98" totalsRowFunction="custom" queryTableFieldId="98" dataDxfId="2207" totalsRowDxfId="2206">
      <totalsRowFormula>-CT7+360</totalsRowFormula>
    </tableColumn>
    <tableColumn id="99" xr3:uid="{F8A7EBA5-F8BC-4CD7-B66C-6A60B2C2E57A}" uniqueName="99" name="Column99" totalsRowFunction="custom" queryTableFieldId="99" dataDxfId="2205" totalsRowDxfId="2204">
      <totalsRowFormula>-CU7+360</totalsRowFormula>
    </tableColumn>
    <tableColumn id="100" xr3:uid="{27D98651-22FC-4FA3-BBF9-F01F61786EF7}" uniqueName="100" name="Column100" totalsRowFunction="custom" queryTableFieldId="100" dataDxfId="2203" totalsRowDxfId="2202">
      <totalsRowFormula>-CV7+360</totalsRowFormula>
    </tableColumn>
    <tableColumn id="101" xr3:uid="{F7726958-3833-44B6-A5DA-993F534C0740}" uniqueName="101" name="Column101" totalsRowFunction="custom" queryTableFieldId="101" dataDxfId="2201" totalsRowDxfId="2200">
      <totalsRowFormula>-CW7+360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32FD87-B811-4868-9DA1-7235163F00CD}" name="pitchMovement" displayName="pitchMovement" ref="A1:CV8" tableType="queryTable" totalsRowCount="1">
  <autoFilter ref="A1:CV7" xr:uid="{DC32FD87-B811-4868-9DA1-7235163F00CD}"/>
  <tableColumns count="100">
    <tableColumn id="1" xr3:uid="{05D59825-C5D3-4B3A-AC5C-A4ED40709AD6}" uniqueName="1" name="Column1" totalsRowFunction="custom" queryTableFieldId="1" dataDxfId="2199">
      <totalsRowFormula>A7-360</totalsRowFormula>
    </tableColumn>
    <tableColumn id="2" xr3:uid="{A6B26C09-9F08-4815-9FFA-F84B92B4EF00}" uniqueName="2" name="Column2" totalsRowFunction="custom" queryTableFieldId="2" dataDxfId="2198">
      <totalsRowFormula>B7-360</totalsRowFormula>
    </tableColumn>
    <tableColumn id="3" xr3:uid="{21415E85-3C52-4848-A348-736435BBF07A}" uniqueName="3" name="Column3" totalsRowFunction="custom" queryTableFieldId="3" dataDxfId="2197">
      <totalsRowFormula>C7-360</totalsRowFormula>
    </tableColumn>
    <tableColumn id="4" xr3:uid="{6EEE7EAF-B7DA-4E18-9E2C-C248A9D9EB69}" uniqueName="4" name="Column4" totalsRowFunction="custom" queryTableFieldId="4" dataDxfId="2196">
      <totalsRowFormula>D7-360</totalsRowFormula>
    </tableColumn>
    <tableColumn id="5" xr3:uid="{95BB0413-3782-43FA-81BF-19519623A5ED}" uniqueName="5" name="Column5" totalsRowFunction="custom" queryTableFieldId="5" dataDxfId="2195">
      <totalsRowFormula>E7-360</totalsRowFormula>
    </tableColumn>
    <tableColumn id="6" xr3:uid="{33FBC03D-DAA2-45BD-AC34-F7BC556E2DF4}" uniqueName="6" name="Column6" totalsRowFunction="custom" queryTableFieldId="6" dataDxfId="2194">
      <totalsRowFormula>F7-360</totalsRowFormula>
    </tableColumn>
    <tableColumn id="7" xr3:uid="{2503BEEF-41F7-434B-B7D8-11580F88C9CB}" uniqueName="7" name="Column7" totalsRowFunction="custom" queryTableFieldId="7" dataDxfId="2193">
      <totalsRowFormula>G7-360</totalsRowFormula>
    </tableColumn>
    <tableColumn id="8" xr3:uid="{6609BECB-7C96-4D75-81BD-7812DE8FD01D}" uniqueName="8" name="Column8" totalsRowFunction="custom" queryTableFieldId="8" dataDxfId="2192">
      <totalsRowFormula>H7-360</totalsRowFormula>
    </tableColumn>
    <tableColumn id="9" xr3:uid="{292CCF5B-90DA-4F4D-A05C-9A727D4CEBA0}" uniqueName="9" name="Column9" totalsRowFunction="custom" queryTableFieldId="9" dataDxfId="2191">
      <totalsRowFormula>I7-360</totalsRowFormula>
    </tableColumn>
    <tableColumn id="10" xr3:uid="{AEF31396-47EF-4D0E-A5A4-C512D29E04DC}" uniqueName="10" name="Column10" totalsRowFunction="custom" queryTableFieldId="10" dataDxfId="2190">
      <totalsRowFormula>J7-360</totalsRowFormula>
    </tableColumn>
    <tableColumn id="11" xr3:uid="{4C93246D-326C-4FAA-9771-1A7FAB6202D1}" uniqueName="11" name="Column11" totalsRowFunction="custom" queryTableFieldId="11" dataDxfId="2189">
      <totalsRowFormula>K7-360</totalsRowFormula>
    </tableColumn>
    <tableColumn id="12" xr3:uid="{AF665CE0-3CE0-4F30-AD40-8577A509D7E2}" uniqueName="12" name="Column12" totalsRowFunction="custom" queryTableFieldId="12" dataDxfId="2188">
      <totalsRowFormula>L7-360</totalsRowFormula>
    </tableColumn>
    <tableColumn id="13" xr3:uid="{865B2500-6E8C-4891-8064-E13399862638}" uniqueName="13" name="Column13" totalsRowFunction="custom" queryTableFieldId="13" dataDxfId="2187">
      <totalsRowFormula>M7-360</totalsRowFormula>
    </tableColumn>
    <tableColumn id="14" xr3:uid="{00F50147-8DA7-408E-995A-48BFF4D3F177}" uniqueName="14" name="Column14" totalsRowFunction="custom" queryTableFieldId="14" dataDxfId="2186">
      <totalsRowFormula>N7-360</totalsRowFormula>
    </tableColumn>
    <tableColumn id="15" xr3:uid="{8E319076-E6D4-48E0-8A57-84B9AB77D4E2}" uniqueName="15" name="Column15" totalsRowFunction="custom" queryTableFieldId="15" dataDxfId="2185">
      <totalsRowFormula>O7-360</totalsRowFormula>
    </tableColumn>
    <tableColumn id="16" xr3:uid="{6B14CE73-62F5-4FD1-B49D-2F137ACE6452}" uniqueName="16" name="Column16" totalsRowFunction="custom" queryTableFieldId="16" dataDxfId="2184">
      <totalsRowFormula>P7-360</totalsRowFormula>
    </tableColumn>
    <tableColumn id="17" xr3:uid="{63AAF0E3-F1A1-4CCF-82DB-38BB534F6BF2}" uniqueName="17" name="Column17" totalsRowFunction="custom" queryTableFieldId="17" dataDxfId="2183">
      <totalsRowFormula>Q7-360</totalsRowFormula>
    </tableColumn>
    <tableColumn id="18" xr3:uid="{2D88E23C-30FC-4C47-BC57-904FFB1C5614}" uniqueName="18" name="Column18" totalsRowFunction="custom" queryTableFieldId="18" dataDxfId="2182">
      <totalsRowFormula>R7-360</totalsRowFormula>
    </tableColumn>
    <tableColumn id="19" xr3:uid="{ED7AA3F3-7A13-4809-ACD8-C977ACA73E2E}" uniqueName="19" name="Column19" totalsRowFunction="custom" queryTableFieldId="19" dataDxfId="2181">
      <totalsRowFormula>S7-360</totalsRowFormula>
    </tableColumn>
    <tableColumn id="20" xr3:uid="{2545BCC3-42A3-43AD-B160-F20E2724E89C}" uniqueName="20" name="Column20" totalsRowFunction="custom" queryTableFieldId="20" dataDxfId="2180">
      <totalsRowFormula>T7-360</totalsRowFormula>
    </tableColumn>
    <tableColumn id="21" xr3:uid="{562D8D27-D810-4ADB-BE59-7D40F0767FB0}" uniqueName="21" name="Column21" totalsRowFunction="custom" queryTableFieldId="21" dataDxfId="2179">
      <totalsRowFormula>U7-360</totalsRowFormula>
    </tableColumn>
    <tableColumn id="22" xr3:uid="{406AAEC0-8C4B-4C65-9240-0B63477F681E}" uniqueName="22" name="Column22" totalsRowFunction="custom" queryTableFieldId="22" dataDxfId="2178">
      <totalsRowFormula>V7-360</totalsRowFormula>
    </tableColumn>
    <tableColumn id="23" xr3:uid="{534C139E-294D-4D16-99B4-B7E11430EDAE}" uniqueName="23" name="Column23" totalsRowFunction="custom" queryTableFieldId="23" dataDxfId="2177">
      <totalsRowFormula>W7-360</totalsRowFormula>
    </tableColumn>
    <tableColumn id="24" xr3:uid="{E254A671-1B31-436C-A6E3-67169A4F6DFF}" uniqueName="24" name="Column24" totalsRowFunction="custom" queryTableFieldId="24" dataDxfId="2176">
      <totalsRowFormula>X7-360</totalsRowFormula>
    </tableColumn>
    <tableColumn id="25" xr3:uid="{0CEFAF13-AE06-43EE-BCFA-012A075D6066}" uniqueName="25" name="Column25" totalsRowFunction="custom" queryTableFieldId="25" dataDxfId="2175">
      <totalsRowFormula>Y7-360</totalsRowFormula>
    </tableColumn>
    <tableColumn id="26" xr3:uid="{4CCFC388-F143-497D-9ABD-EC943D07160C}" uniqueName="26" name="Column26" totalsRowFunction="custom" queryTableFieldId="26" dataDxfId="2174">
      <totalsRowFormula>Z7-360</totalsRowFormula>
    </tableColumn>
    <tableColumn id="27" xr3:uid="{45FC975E-B50D-4C10-B12A-B3AA70713DE4}" uniqueName="27" name="Column27" totalsRowFunction="custom" queryTableFieldId="27" dataDxfId="2173">
      <totalsRowFormula>AA7-360</totalsRowFormula>
    </tableColumn>
    <tableColumn id="28" xr3:uid="{28359B67-054B-4912-A3BE-49D8CB7F61F6}" uniqueName="28" name="Column28" totalsRowFunction="custom" queryTableFieldId="28" dataDxfId="2172">
      <totalsRowFormula>AB7-360</totalsRowFormula>
    </tableColumn>
    <tableColumn id="29" xr3:uid="{0F6814D8-AAAF-4140-BB62-E2B753D753C7}" uniqueName="29" name="Column29" totalsRowFunction="custom" queryTableFieldId="29" dataDxfId="2171">
      <totalsRowFormula>AC7-360</totalsRowFormula>
    </tableColumn>
    <tableColumn id="30" xr3:uid="{4F67AC1C-AC74-4EBC-AE9F-811B8A091E05}" uniqueName="30" name="Column30" totalsRowFunction="custom" queryTableFieldId="30" dataDxfId="2170">
      <totalsRowFormula>AD7-360</totalsRowFormula>
    </tableColumn>
    <tableColumn id="31" xr3:uid="{8210F717-C4DE-4AD4-8C72-EF6A3364CD38}" uniqueName="31" name="Column31" totalsRowFunction="custom" queryTableFieldId="31" dataDxfId="2169">
      <totalsRowFormula>AE7-360</totalsRowFormula>
    </tableColumn>
    <tableColumn id="32" xr3:uid="{5BA40871-749F-4B5D-B19A-8285A3A4E683}" uniqueName="32" name="Column32" totalsRowFunction="custom" queryTableFieldId="32" dataDxfId="2168">
      <totalsRowFormula>AF7-360</totalsRowFormula>
    </tableColumn>
    <tableColumn id="33" xr3:uid="{20A1663A-6BAE-4175-B25F-206F98F2BB44}" uniqueName="33" name="Column33" totalsRowFunction="custom" queryTableFieldId="33" dataDxfId="2167">
      <totalsRowFormula>AG7-360</totalsRowFormula>
    </tableColumn>
    <tableColumn id="34" xr3:uid="{516EAAFA-D2CC-4D5A-89E8-D2C4E7554E1B}" uniqueName="34" name="Column34" totalsRowFunction="custom" queryTableFieldId="34" dataDxfId="2166">
      <totalsRowFormula>AH7-360</totalsRowFormula>
    </tableColumn>
    <tableColumn id="35" xr3:uid="{9AECD00D-94E9-4063-A08C-340631908DEB}" uniqueName="35" name="Column35" totalsRowFunction="custom" queryTableFieldId="35" dataDxfId="2165">
      <totalsRowFormula>AI7-360</totalsRowFormula>
    </tableColumn>
    <tableColumn id="36" xr3:uid="{3AD11E92-E334-411E-A46A-D99CC9292C34}" uniqueName="36" name="Column36" totalsRowFunction="custom" queryTableFieldId="36" dataDxfId="2164">
      <totalsRowFormula>AJ7-360</totalsRowFormula>
    </tableColumn>
    <tableColumn id="37" xr3:uid="{34A40833-9136-482F-B754-580F1870CA26}" uniqueName="37" name="Column37" totalsRowFunction="custom" queryTableFieldId="37" dataDxfId="2163">
      <totalsRowFormula>AK7-360</totalsRowFormula>
    </tableColumn>
    <tableColumn id="38" xr3:uid="{C6A873D3-7D51-4192-99A2-1B5A0C53E448}" uniqueName="38" name="Column38" totalsRowFunction="custom" queryTableFieldId="38" dataDxfId="2162">
      <totalsRowFormula>AL7-360</totalsRowFormula>
    </tableColumn>
    <tableColumn id="39" xr3:uid="{D2194157-F1DB-46B3-B8B5-B92DB0F06B79}" uniqueName="39" name="Column39" totalsRowFunction="custom" queryTableFieldId="39" dataDxfId="2161">
      <totalsRowFormula>AM7-360</totalsRowFormula>
    </tableColumn>
    <tableColumn id="40" xr3:uid="{3467B1E8-0CC3-4B40-9FF7-8AFA5F75084B}" uniqueName="40" name="Column40" totalsRowFunction="custom" queryTableFieldId="40" dataDxfId="2160">
      <totalsRowFormula>AN7-360</totalsRowFormula>
    </tableColumn>
    <tableColumn id="41" xr3:uid="{C2DE5500-D28C-4F8E-9134-87F98E726025}" uniqueName="41" name="Column41" totalsRowFunction="custom" queryTableFieldId="41" dataDxfId="2159">
      <totalsRowFormula>AO7-360</totalsRowFormula>
    </tableColumn>
    <tableColumn id="42" xr3:uid="{209C3B27-2B67-4742-995F-03BD03EE04C4}" uniqueName="42" name="Column42" totalsRowFunction="custom" queryTableFieldId="42" dataDxfId="2158">
      <totalsRowFormula>AP7-360</totalsRowFormula>
    </tableColumn>
    <tableColumn id="43" xr3:uid="{2A7F723B-C25F-4ABD-ACD9-0DD89B0CC0B3}" uniqueName="43" name="Column43" totalsRowFunction="custom" queryTableFieldId="43" dataDxfId="2157">
      <totalsRowFormula>AQ7-360</totalsRowFormula>
    </tableColumn>
    <tableColumn id="44" xr3:uid="{3B8FE3B1-DD96-4EEF-882D-97BAEA42FB02}" uniqueName="44" name="Column44" totalsRowFunction="custom" queryTableFieldId="44" dataDxfId="2156">
      <totalsRowFormula>AR7-360</totalsRowFormula>
    </tableColumn>
    <tableColumn id="45" xr3:uid="{0046A994-5AE5-403E-A2E4-EDBC62CD52AD}" uniqueName="45" name="Column45" totalsRowFunction="custom" queryTableFieldId="45" dataDxfId="2155">
      <totalsRowFormula>AS7-360</totalsRowFormula>
    </tableColumn>
    <tableColumn id="46" xr3:uid="{23949EDB-5D51-4FA2-852A-9DAAA28E3DF2}" uniqueName="46" name="Column46" totalsRowFunction="custom" queryTableFieldId="46" dataDxfId="2154">
      <totalsRowFormula>AT7-360</totalsRowFormula>
    </tableColumn>
    <tableColumn id="47" xr3:uid="{2D641299-DFE2-4DFA-BDE1-1688CBAF1BB8}" uniqueName="47" name="Column47" totalsRowFunction="custom" queryTableFieldId="47" dataDxfId="2153">
      <totalsRowFormula>AU7-360</totalsRowFormula>
    </tableColumn>
    <tableColumn id="48" xr3:uid="{B48DECDB-997F-4FD2-81DF-F6ABB58C986D}" uniqueName="48" name="Column48" totalsRowFunction="custom" queryTableFieldId="48" dataDxfId="2152">
      <totalsRowFormula>AV7-360</totalsRowFormula>
    </tableColumn>
    <tableColumn id="49" xr3:uid="{012CF9AA-268C-47D9-B560-EE38E4FDDE48}" uniqueName="49" name="Column49" totalsRowFunction="custom" queryTableFieldId="49" dataDxfId="2151">
      <totalsRowFormula>AW7-360</totalsRowFormula>
    </tableColumn>
    <tableColumn id="50" xr3:uid="{C7F8D75E-89BD-4250-9885-E65670FD2635}" uniqueName="50" name="Column50" totalsRowFunction="custom" queryTableFieldId="50" dataDxfId="2150">
      <totalsRowFormula>AX7-360</totalsRowFormula>
    </tableColumn>
    <tableColumn id="51" xr3:uid="{628BFBBA-BDD5-43FD-84B9-199F361A689C}" uniqueName="51" name="Column51" totalsRowFunction="custom" queryTableFieldId="51" dataDxfId="2149">
      <totalsRowFormula>AY7-360</totalsRowFormula>
    </tableColumn>
    <tableColumn id="52" xr3:uid="{9E9F2F9D-8664-45B0-9BE6-29B64B7F69A1}" uniqueName="52" name="Column52" totalsRowFunction="custom" queryTableFieldId="52" dataDxfId="2148">
      <totalsRowFormula>AZ7-360</totalsRowFormula>
    </tableColumn>
    <tableColumn id="53" xr3:uid="{9F34F898-7795-4344-B55C-570ABE4615D5}" uniqueName="53" name="Column53" totalsRowFunction="custom" queryTableFieldId="53" dataDxfId="2147">
      <totalsRowFormula>BA7-360</totalsRowFormula>
    </tableColumn>
    <tableColumn id="54" xr3:uid="{8D731DA9-F437-44B1-A380-1FB27B9D72CC}" uniqueName="54" name="Column54" totalsRowFunction="custom" queryTableFieldId="54" dataDxfId="2146">
      <totalsRowFormula>BB7-360</totalsRowFormula>
    </tableColumn>
    <tableColumn id="55" xr3:uid="{BE898341-E1F4-4326-B3E6-AE2FB7F04605}" uniqueName="55" name="Column55" totalsRowFunction="custom" queryTableFieldId="55" dataDxfId="2145">
      <totalsRowFormula>BC7-360</totalsRowFormula>
    </tableColumn>
    <tableColumn id="56" xr3:uid="{EAA14744-620B-4095-90DE-36B08A314D43}" uniqueName="56" name="Column56" totalsRowFunction="custom" queryTableFieldId="56" dataDxfId="2144">
      <totalsRowFormula>BD7-360</totalsRowFormula>
    </tableColumn>
    <tableColumn id="57" xr3:uid="{8314EE86-BF91-410A-9D85-964A46DAC7CF}" uniqueName="57" name="Column57" totalsRowFunction="custom" queryTableFieldId="57" dataDxfId="2143">
      <totalsRowFormula>BE7*10/10</totalsRowFormula>
    </tableColumn>
    <tableColumn id="58" xr3:uid="{6B12314A-D55C-4651-A82D-873AA2AE7C7B}" uniqueName="58" name="Column58" totalsRowFunction="custom" queryTableFieldId="58" dataDxfId="2142">
      <totalsRowFormula>BF7*10/10</totalsRowFormula>
    </tableColumn>
    <tableColumn id="59" xr3:uid="{8E490FFE-1116-4892-8A03-8B07FA001D45}" uniqueName="59" name="Column59" totalsRowFunction="custom" queryTableFieldId="59" dataDxfId="2141">
      <totalsRowFormula>BG7*10/10</totalsRowFormula>
    </tableColumn>
    <tableColumn id="60" xr3:uid="{FFBAF162-5D07-48D5-8A5A-01533C5300D5}" uniqueName="60" name="Column60" totalsRowFunction="custom" queryTableFieldId="60" dataDxfId="2140">
      <totalsRowFormula>BH7*10/10</totalsRowFormula>
    </tableColumn>
    <tableColumn id="61" xr3:uid="{347810F9-3542-4F04-8D60-159898C5F7BA}" uniqueName="61" name="Column61" totalsRowFunction="custom" queryTableFieldId="61" dataDxfId="2139">
      <totalsRowFormula>BI7*10/10</totalsRowFormula>
    </tableColumn>
    <tableColumn id="62" xr3:uid="{15912520-DF60-4A7C-B819-546D883B10B9}" uniqueName="62" name="Column62" totalsRowFunction="custom" queryTableFieldId="62" dataDxfId="2138">
      <totalsRowFormula>BJ7*10/10</totalsRowFormula>
    </tableColumn>
    <tableColumn id="63" xr3:uid="{83C0420F-BB48-4E56-882D-2A86116620DA}" uniqueName="63" name="Column63" totalsRowFunction="custom" queryTableFieldId="63" dataDxfId="2137">
      <totalsRowFormula>BK7*10/10</totalsRowFormula>
    </tableColumn>
    <tableColumn id="64" xr3:uid="{33A01003-2255-46FE-BFCE-47890A037417}" uniqueName="64" name="Column64" totalsRowFunction="custom" queryTableFieldId="64" dataDxfId="2136">
      <totalsRowFormula>BL7*10/10</totalsRowFormula>
    </tableColumn>
    <tableColumn id="65" xr3:uid="{D74F7CC2-94B5-4580-B887-96CDC1CC28D5}" uniqueName="65" name="Column65" totalsRowFunction="custom" queryTableFieldId="65" dataDxfId="2135">
      <totalsRowFormula>BM7*10/10</totalsRowFormula>
    </tableColumn>
    <tableColumn id="66" xr3:uid="{1492ED77-2D7B-4681-B079-066048AB9048}" uniqueName="66" name="Column66" totalsRowFunction="custom" queryTableFieldId="66" dataDxfId="2134">
      <totalsRowFormula>BN7*10/10</totalsRowFormula>
    </tableColumn>
    <tableColumn id="67" xr3:uid="{35188029-3FBD-4FC2-86A7-30735EC002AD}" uniqueName="67" name="Column67" totalsRowFunction="custom" queryTableFieldId="67" dataDxfId="2133">
      <totalsRowFormula>BO7*10/10</totalsRowFormula>
    </tableColumn>
    <tableColumn id="68" xr3:uid="{9FC72EDD-CDED-4836-B170-CA471802A48F}" uniqueName="68" name="Column68" totalsRowFunction="custom" queryTableFieldId="68" dataDxfId="2132">
      <totalsRowFormula>BP7*10/10</totalsRowFormula>
    </tableColumn>
    <tableColumn id="69" xr3:uid="{B8138A46-3C30-4826-8395-7FF794E6BF27}" uniqueName="69" name="Column69" totalsRowFunction="custom" queryTableFieldId="69" dataDxfId="2131">
      <totalsRowFormula>BQ7*10/10</totalsRowFormula>
    </tableColumn>
    <tableColumn id="70" xr3:uid="{21EE642E-D62F-415B-B25B-99FF46FFE926}" uniqueName="70" name="Column70" totalsRowFunction="custom" queryTableFieldId="70" dataDxfId="2130">
      <totalsRowFormula>BR7*10/10</totalsRowFormula>
    </tableColumn>
    <tableColumn id="71" xr3:uid="{0FF9A520-8038-483D-A95E-6BB42D91B67A}" uniqueName="71" name="Column71" totalsRowFunction="custom" queryTableFieldId="71" dataDxfId="2129">
      <totalsRowFormula>BS7*10/10</totalsRowFormula>
    </tableColumn>
    <tableColumn id="72" xr3:uid="{801D093A-01E5-43C8-BCAD-ED177B96FB1C}" uniqueName="72" name="Column72" totalsRowFunction="custom" queryTableFieldId="72" dataDxfId="2128">
      <totalsRowFormula>BT7*10/10</totalsRowFormula>
    </tableColumn>
    <tableColumn id="73" xr3:uid="{B12558EF-8108-46C0-9406-67872CE8BF86}" uniqueName="73" name="Column73" totalsRowFunction="custom" queryTableFieldId="73" dataDxfId="2127">
      <totalsRowFormula>BU7*10/10</totalsRowFormula>
    </tableColumn>
    <tableColumn id="74" xr3:uid="{EF921D23-99A8-4AEC-B8B5-5633DC5CF191}" uniqueName="74" name="Column74" totalsRowFunction="custom" queryTableFieldId="74" dataDxfId="2126">
      <totalsRowFormula>BV7*10/10</totalsRowFormula>
    </tableColumn>
    <tableColumn id="75" xr3:uid="{4D30065A-0996-463A-AD74-5E61B47ADE9A}" uniqueName="75" name="Column75" totalsRowFunction="custom" queryTableFieldId="75" dataDxfId="2125">
      <totalsRowFormula>BW7*10/10</totalsRowFormula>
    </tableColumn>
    <tableColumn id="76" xr3:uid="{F2054B15-7FBB-4387-8B44-9B2A8551AA21}" uniqueName="76" name="Column76" totalsRowFunction="custom" queryTableFieldId="76" dataDxfId="2124">
      <totalsRowFormula>BX7*10/10</totalsRowFormula>
    </tableColumn>
    <tableColumn id="77" xr3:uid="{84176BB0-A38F-4302-B3DF-CC2361B7C724}" uniqueName="77" name="Column77" totalsRowFunction="custom" queryTableFieldId="77" dataDxfId="2123">
      <totalsRowFormula>BY7*10/10</totalsRowFormula>
    </tableColumn>
    <tableColumn id="78" xr3:uid="{A721BAEC-8450-4DB8-BCDA-0816A734E1D7}" uniqueName="78" name="Column78" totalsRowFunction="custom" queryTableFieldId="78" dataDxfId="2122">
      <totalsRowFormula>BZ7*10/10</totalsRowFormula>
    </tableColumn>
    <tableColumn id="79" xr3:uid="{F8F6B317-018F-4D4F-875B-1FAC99F864D6}" uniqueName="79" name="Column79" totalsRowFunction="custom" queryTableFieldId="79" dataDxfId="2121">
      <totalsRowFormula>CA7*10/10</totalsRowFormula>
    </tableColumn>
    <tableColumn id="80" xr3:uid="{17B4234F-03A4-4AF2-9FB4-07C34ADC3B34}" uniqueName="80" name="Column80" totalsRowFunction="custom" queryTableFieldId="80" dataDxfId="2120">
      <totalsRowFormula>CB7*10/10</totalsRowFormula>
    </tableColumn>
    <tableColumn id="81" xr3:uid="{43651E19-EC2A-4D8B-9F10-F72AD0E8DE76}" uniqueName="81" name="Column81" totalsRowFunction="custom" queryTableFieldId="81" dataDxfId="2119">
      <totalsRowFormula>CC7*10/10</totalsRowFormula>
    </tableColumn>
    <tableColumn id="82" xr3:uid="{FE9EBC93-C446-496A-A0B2-A1F2EB015B15}" uniqueName="82" name="Column82" totalsRowFunction="custom" queryTableFieldId="82" dataDxfId="2118">
      <totalsRowFormula>CD7*10/10</totalsRowFormula>
    </tableColumn>
    <tableColumn id="83" xr3:uid="{BAD3AC4D-C9DF-4A8C-9D8F-1A744C1B8BF6}" uniqueName="83" name="Column83" totalsRowFunction="custom" queryTableFieldId="83" dataDxfId="2117">
      <totalsRowFormula>CE7*10/10</totalsRowFormula>
    </tableColumn>
    <tableColumn id="84" xr3:uid="{367336BF-928D-471C-9908-D75DF5D6D7A0}" uniqueName="84" name="Column84" totalsRowFunction="custom" queryTableFieldId="84" dataDxfId="2116">
      <totalsRowFormula>CF7*10/10</totalsRowFormula>
    </tableColumn>
    <tableColumn id="85" xr3:uid="{902F238C-573B-4B28-A77D-7F5298C9B757}" uniqueName="85" name="Column85" totalsRowFunction="custom" queryTableFieldId="85" dataDxfId="2115">
      <totalsRowFormula>CG7*10/10</totalsRowFormula>
    </tableColumn>
    <tableColumn id="86" xr3:uid="{D6F76517-3352-4C91-8FB7-FD04FA30A80C}" uniqueName="86" name="Column86" totalsRowFunction="custom" queryTableFieldId="86" dataDxfId="2114">
      <totalsRowFormula>CH7*10/10</totalsRowFormula>
    </tableColumn>
    <tableColumn id="87" xr3:uid="{BC4B4959-2968-4148-AFF1-F6F378D3BC6E}" uniqueName="87" name="Column87" totalsRowFunction="custom" queryTableFieldId="87" dataDxfId="2113">
      <totalsRowFormula>CI7*10/10</totalsRowFormula>
    </tableColumn>
    <tableColumn id="88" xr3:uid="{055C071A-66B8-47B2-B85F-6201F7383332}" uniqueName="88" name="Column88" totalsRowFunction="custom" queryTableFieldId="88" dataDxfId="2112">
      <totalsRowFormula>CJ7*10/10</totalsRowFormula>
    </tableColumn>
    <tableColumn id="89" xr3:uid="{F843FB15-D15A-44A6-941F-706B85F94F24}" uniqueName="89" name="Column89" totalsRowFunction="custom" queryTableFieldId="89" dataDxfId="2111">
      <totalsRowFormula>CK7*10/10</totalsRowFormula>
    </tableColumn>
    <tableColumn id="90" xr3:uid="{3FF9992F-7DE8-43D7-B025-158D05CD0EFF}" uniqueName="90" name="Column90" totalsRowFunction="custom" queryTableFieldId="90" dataDxfId="2110">
      <totalsRowFormula>CL7*10/10</totalsRowFormula>
    </tableColumn>
    <tableColumn id="91" xr3:uid="{613F3F62-89ED-415A-B54B-14150A9BD1B3}" uniqueName="91" name="Column91" totalsRowFunction="custom" queryTableFieldId="91" dataDxfId="2109">
      <totalsRowFormula>CM7*10/10</totalsRowFormula>
    </tableColumn>
    <tableColumn id="92" xr3:uid="{4828FD21-5FEB-488E-B9DC-967468BFADD8}" uniqueName="92" name="Column92" totalsRowFunction="custom" queryTableFieldId="92" dataDxfId="2108">
      <totalsRowFormula>CN7*10/10</totalsRowFormula>
    </tableColumn>
    <tableColumn id="93" xr3:uid="{C410148B-FB3A-4007-A49F-1DE2367D52BE}" uniqueName="93" name="Column93" totalsRowFunction="custom" queryTableFieldId="93" dataDxfId="2107">
      <totalsRowFormula>CO7*10/10</totalsRowFormula>
    </tableColumn>
    <tableColumn id="94" xr3:uid="{0EDAB71D-214B-4695-937C-FF769733D71B}" uniqueName="94" name="Column94" totalsRowFunction="custom" queryTableFieldId="94" dataDxfId="2106">
      <totalsRowFormula>CP7*10/10</totalsRowFormula>
    </tableColumn>
    <tableColumn id="95" xr3:uid="{C818DBE7-53FB-428C-91C5-96211B75E7DD}" uniqueName="95" name="Column95" totalsRowFunction="custom" queryTableFieldId="95" dataDxfId="2105">
      <totalsRowFormula>CQ7*10/10</totalsRowFormula>
    </tableColumn>
    <tableColumn id="96" xr3:uid="{45B7675A-A661-4012-8298-C45884FC76F8}" uniqueName="96" name="Column96" totalsRowFunction="custom" queryTableFieldId="96" dataDxfId="2104">
      <totalsRowFormula>CR7*10/10</totalsRowFormula>
    </tableColumn>
    <tableColumn id="97" xr3:uid="{B7A18195-0E5D-43C5-979A-E7E2BCF9A12D}" uniqueName="97" name="Column97" totalsRowFunction="custom" queryTableFieldId="97" dataDxfId="2103">
      <totalsRowFormula>CS7*10/10</totalsRowFormula>
    </tableColumn>
    <tableColumn id="98" xr3:uid="{1D646214-5249-4BE6-A565-4CA40AAE1F8D}" uniqueName="98" name="Column98" totalsRowFunction="custom" queryTableFieldId="98" dataDxfId="2102">
      <totalsRowFormula>CT7*10/10</totalsRowFormula>
    </tableColumn>
    <tableColumn id="99" xr3:uid="{7F2E2F0D-B0E1-4B44-B719-FF07ACCC83B6}" uniqueName="99" name="Column99" totalsRowFunction="custom" queryTableFieldId="99" dataDxfId="2101">
      <totalsRowFormula>CU7*10/10</totalsRowFormula>
    </tableColumn>
    <tableColumn id="100" xr3:uid="{D6FC8713-0787-4F77-9434-DAE14AE3AF03}" uniqueName="100" name="Column100" totalsRowFunction="custom" queryTableFieldId="100" dataDxfId="2100">
      <totalsRowFormula>CV7*10/10</totalsRow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DF3B9-D97D-4A4F-AA59-8103CCE90563}" name="pichMovement__3" displayName="pichMovement__3" ref="A1:CV8" tableType="queryTable" totalsRowCount="1">
  <autoFilter ref="A1:CV7" xr:uid="{890DF3B9-D97D-4A4F-AA59-8103CCE90563}"/>
  <tableColumns count="100">
    <tableColumn id="1" xr3:uid="{79E76FC0-63B2-451F-9D19-F74EA2204CB7}" uniqueName="1" name="Column1" totalsRowLabel="0" queryTableFieldId="1" dataDxfId="2099"/>
    <tableColumn id="2" xr3:uid="{CCFA3D2D-F934-40B2-97F2-339F0972CF05}" uniqueName="2" name="Column2" totalsRowFunction="custom" queryTableFieldId="2" dataDxfId="2098">
      <totalsRowFormula>($E$7-B7)*10</totalsRowFormula>
    </tableColumn>
    <tableColumn id="3" xr3:uid="{C991CF59-B527-426D-8E21-89C34F458FD9}" uniqueName="3" name="Column3" totalsRowFunction="custom" queryTableFieldId="3" dataDxfId="2097">
      <totalsRowFormula>($E$7-C7)*10</totalsRowFormula>
    </tableColumn>
    <tableColumn id="4" xr3:uid="{86B26682-4DFF-449A-8ECC-1B6DD1928F74}" uniqueName="4" name="Column4" totalsRowFunction="custom" queryTableFieldId="4" dataDxfId="2096">
      <totalsRowFormula>($E$7-D7)*10</totalsRowFormula>
    </tableColumn>
    <tableColumn id="5" xr3:uid="{80C141F7-3A11-4DD2-8B39-648787C342A0}" uniqueName="5" name="Column5" totalsRowFunction="custom" queryTableFieldId="5" dataDxfId="2095">
      <totalsRowFormula>($E$7-E7)*10</totalsRowFormula>
    </tableColumn>
    <tableColumn id="6" xr3:uid="{E64EFF6B-3440-442A-AE28-F00727A39E25}" uniqueName="6" name="Column6" totalsRowFunction="custom" queryTableFieldId="6" dataDxfId="2094">
      <totalsRowFormula>($E$7-F7)*10</totalsRowFormula>
    </tableColumn>
    <tableColumn id="7" xr3:uid="{7BE2A6AB-54C8-4D7F-8B99-485CF8DE3965}" uniqueName="7" name="Column7" totalsRowFunction="custom" queryTableFieldId="7" dataDxfId="2093">
      <totalsRowFormula>($E$7-G7)*10</totalsRowFormula>
    </tableColumn>
    <tableColumn id="8" xr3:uid="{3378C0FA-B0F8-48CC-84D0-55042000721C}" uniqueName="8" name="Column8" totalsRowFunction="custom" queryTableFieldId="8" dataDxfId="2092">
      <totalsRowFormula>($E$7-H7)*10</totalsRowFormula>
    </tableColumn>
    <tableColumn id="9" xr3:uid="{86C9517B-8759-4E21-B583-52BFEF5E5E24}" uniqueName="9" name="Column9" totalsRowFunction="custom" queryTableFieldId="9" dataDxfId="2091">
      <totalsRowFormula>($E$7-I7)*10</totalsRowFormula>
    </tableColumn>
    <tableColumn id="10" xr3:uid="{2D179BA0-3A5B-4775-9E18-763AE809373D}" uniqueName="10" name="Column10" totalsRowFunction="custom" queryTableFieldId="10" dataDxfId="2090">
      <totalsRowFormula>($E$7-J7)*10</totalsRowFormula>
    </tableColumn>
    <tableColumn id="11" xr3:uid="{C68EA344-F908-448B-8CCE-5AB6CB6CBC13}" uniqueName="11" name="Column11" totalsRowFunction="custom" queryTableFieldId="11" dataDxfId="2089">
      <totalsRowFormula>($E$7-K7)*10</totalsRowFormula>
    </tableColumn>
    <tableColumn id="12" xr3:uid="{D10F9CC0-0639-49F0-BA05-2E51FC11BEA9}" uniqueName="12" name="Column12" totalsRowFunction="custom" queryTableFieldId="12" dataDxfId="2088">
      <totalsRowFormula>($E$7-L7)*10</totalsRowFormula>
    </tableColumn>
    <tableColumn id="13" xr3:uid="{507B95E8-073D-4EE8-BB4C-35565C0798B0}" uniqueName="13" name="Column13" totalsRowFunction="custom" queryTableFieldId="13" dataDxfId="2087">
      <totalsRowFormula>($E$7-M7)*10</totalsRowFormula>
    </tableColumn>
    <tableColumn id="14" xr3:uid="{0BCB8B1B-624B-4A8C-A0FF-2319F931127C}" uniqueName="14" name="Column14" totalsRowFunction="custom" queryTableFieldId="14" dataDxfId="2086">
      <totalsRowFormula>($E$7-N7)*10</totalsRowFormula>
    </tableColumn>
    <tableColumn id="15" xr3:uid="{B736608D-1429-4BF2-947F-14648A362EA4}" uniqueName="15" name="Column15" totalsRowFunction="custom" queryTableFieldId="15" dataDxfId="2085">
      <totalsRowFormula>($E$7-O7)*10</totalsRowFormula>
    </tableColumn>
    <tableColumn id="16" xr3:uid="{0FFC16E6-9255-4EC1-9910-16583C178261}" uniqueName="16" name="Column16" totalsRowFunction="custom" queryTableFieldId="16" dataDxfId="2084">
      <totalsRowFormula>($E$7-P7)*10</totalsRowFormula>
    </tableColumn>
    <tableColumn id="17" xr3:uid="{55EBA489-8E77-48F5-9AED-5820927B5198}" uniqueName="17" name="Column17" totalsRowFunction="custom" queryTableFieldId="17" dataDxfId="2083">
      <totalsRowFormula>($E$7-Q7)*10</totalsRowFormula>
    </tableColumn>
    <tableColumn id="18" xr3:uid="{CDE26106-6907-4EB5-A18B-01D6E99C0D98}" uniqueName="18" name="Column18" totalsRowFunction="custom" queryTableFieldId="18" dataDxfId="2082">
      <totalsRowFormula>($E$7-R7)*10</totalsRowFormula>
    </tableColumn>
    <tableColumn id="19" xr3:uid="{3EF76DCB-68A7-45D4-BC3D-38036B9C3408}" uniqueName="19" name="Column19" totalsRowFunction="custom" queryTableFieldId="19" dataDxfId="2081">
      <totalsRowFormula>($E$7-S7)*10</totalsRowFormula>
    </tableColumn>
    <tableColumn id="20" xr3:uid="{83F0FFA0-9B1C-4861-86EE-EE7EBA66AB1B}" uniqueName="20" name="Column20" totalsRowFunction="custom" queryTableFieldId="20" dataDxfId="2080">
      <totalsRowFormula>($E$7-T7)*10</totalsRowFormula>
    </tableColumn>
    <tableColumn id="21" xr3:uid="{71BD8C11-938C-4DAB-9903-056AFA177752}" uniqueName="21" name="Column21" totalsRowFunction="custom" queryTableFieldId="21" dataDxfId="2079">
      <totalsRowFormula>($E$7-U7)*10</totalsRowFormula>
    </tableColumn>
    <tableColumn id="22" xr3:uid="{F24D9B8B-4B50-4EDC-9B00-D5626F687D35}" uniqueName="22" name="Column22" totalsRowFunction="custom" queryTableFieldId="22" dataDxfId="2078">
      <totalsRowFormula>($E$7-V7)*10</totalsRowFormula>
    </tableColumn>
    <tableColumn id="23" xr3:uid="{29A8468F-4C48-4A1D-931C-0CB4AC6F554B}" uniqueName="23" name="Column23" totalsRowFunction="custom" queryTableFieldId="23" dataDxfId="2077">
      <totalsRowFormula>($E$7-W7)*10</totalsRowFormula>
    </tableColumn>
    <tableColumn id="24" xr3:uid="{BDBDFD8F-D399-40CB-97E9-15264AAB67CF}" uniqueName="24" name="Column24" totalsRowFunction="custom" queryTableFieldId="24" dataDxfId="2076">
      <totalsRowFormula>($E$7-X7)*10</totalsRowFormula>
    </tableColumn>
    <tableColumn id="25" xr3:uid="{8BB9261E-7EFC-4611-9D44-9592D6C74BDD}" uniqueName="25" name="Column25" totalsRowFunction="custom" queryTableFieldId="25" dataDxfId="2075">
      <totalsRowFormula>($E$7-Y7)*10</totalsRowFormula>
    </tableColumn>
    <tableColumn id="26" xr3:uid="{F2E7845F-2173-4006-A2BA-CC4F34F75EAB}" uniqueName="26" name="Column26" totalsRowFunction="custom" queryTableFieldId="26" dataDxfId="2074">
      <totalsRowFormula>($E$7-Z7)*10</totalsRowFormula>
    </tableColumn>
    <tableColumn id="27" xr3:uid="{74B62C0E-EB77-402B-A7E7-85DE3E0BC4EE}" uniqueName="27" name="Column27" totalsRowFunction="custom" queryTableFieldId="27" dataDxfId="2073">
      <totalsRowFormula>($E$7-AA7)*10</totalsRowFormula>
    </tableColumn>
    <tableColumn id="28" xr3:uid="{3730B122-320A-4710-8D96-E9E11B9D976A}" uniqueName="28" name="Column28" totalsRowFunction="custom" queryTableFieldId="28" dataDxfId="2072">
      <totalsRowFormula>($E$7-AB7)*10</totalsRowFormula>
    </tableColumn>
    <tableColumn id="29" xr3:uid="{DEA24CE3-9A92-48EA-B6CE-8A2CD902B71E}" uniqueName="29" name="Column29" totalsRowFunction="custom" queryTableFieldId="29" dataDxfId="2071">
      <totalsRowFormula>($E$7-AC7)*10</totalsRowFormula>
    </tableColumn>
    <tableColumn id="30" xr3:uid="{9662D00C-3141-4939-9A98-D8307CBCCFCB}" uniqueName="30" name="Column30" totalsRowFunction="custom" queryTableFieldId="30" dataDxfId="2070">
      <totalsRowFormula>($E$7-AD7)*10</totalsRowFormula>
    </tableColumn>
    <tableColumn id="31" xr3:uid="{C33ECE72-B830-4BE3-A1E9-A2DB66B46501}" uniqueName="31" name="Column31" totalsRowFunction="custom" queryTableFieldId="31" dataDxfId="2069">
      <totalsRowFormula>($E$7-AE7)*10</totalsRowFormula>
    </tableColumn>
    <tableColumn id="32" xr3:uid="{4BFFD453-7937-444E-AF31-9800640E0A4D}" uniqueName="32" name="Column32" totalsRowFunction="custom" queryTableFieldId="32" dataDxfId="2068">
      <totalsRowFormula>($E$7-AF7)*10</totalsRowFormula>
    </tableColumn>
    <tableColumn id="33" xr3:uid="{4ADCFE0C-0FA9-407A-808D-684B28613A3D}" uniqueName="33" name="Column33" totalsRowFunction="custom" queryTableFieldId="33" dataDxfId="2067">
      <totalsRowFormula>($E$7-AG7)*10</totalsRowFormula>
    </tableColumn>
    <tableColumn id="34" xr3:uid="{D8460207-2512-4192-A65D-E3246E73324B}" uniqueName="34" name="Column34" totalsRowFunction="custom" queryTableFieldId="34" dataDxfId="2066">
      <totalsRowFormula>($E$7-AH7)*10</totalsRowFormula>
    </tableColumn>
    <tableColumn id="35" xr3:uid="{126840DD-556D-43BB-A14F-F1AC43506D0A}" uniqueName="35" name="Column35" totalsRowFunction="custom" queryTableFieldId="35" dataDxfId="2065">
      <totalsRowFormula>($E$7-AI7)*10</totalsRowFormula>
    </tableColumn>
    <tableColumn id="36" xr3:uid="{E236DF64-DE55-4B73-BC47-067D76AAC482}" uniqueName="36" name="Column36" totalsRowFunction="custom" queryTableFieldId="36" dataDxfId="2064">
      <totalsRowFormula>($E$7-AJ7)*10</totalsRowFormula>
    </tableColumn>
    <tableColumn id="37" xr3:uid="{2523586E-1F0F-4B6F-90E3-5FB156EC5242}" uniqueName="37" name="Column37" totalsRowFunction="custom" queryTableFieldId="37" dataDxfId="2063">
      <totalsRowFormula>($E$7-AK7)*10</totalsRowFormula>
    </tableColumn>
    <tableColumn id="38" xr3:uid="{3AE60FBE-2089-45D7-A4AC-7C71E5E9527D}" uniqueName="38" name="Column38" totalsRowFunction="custom" queryTableFieldId="38" dataDxfId="2062">
      <totalsRowFormula>($E$7-AL7)*10</totalsRowFormula>
    </tableColumn>
    <tableColumn id="39" xr3:uid="{79B8F706-51A5-4D0D-A28A-8B1487BD2B2D}" uniqueName="39" name="Column39" totalsRowFunction="custom" queryTableFieldId="39" dataDxfId="2061">
      <totalsRowFormula>($E$7-AM7)*10</totalsRowFormula>
    </tableColumn>
    <tableColumn id="40" xr3:uid="{0B0E9587-B348-475F-B7B1-770962C2D7CB}" uniqueName="40" name="Column40" totalsRowFunction="custom" queryTableFieldId="40" dataDxfId="2060">
      <totalsRowFormula>($E$7-AN7)*10</totalsRowFormula>
    </tableColumn>
    <tableColumn id="41" xr3:uid="{CCFBE3FA-B3F3-4CB1-A2FD-E0AEB85C903A}" uniqueName="41" name="Column41" totalsRowFunction="custom" queryTableFieldId="41" dataDxfId="2059">
      <totalsRowFormula>($E$7-AO7)*10</totalsRowFormula>
    </tableColumn>
    <tableColumn id="42" xr3:uid="{24183A55-912B-443C-999F-C626D0B78F91}" uniqueName="42" name="Column42" totalsRowFunction="custom" queryTableFieldId="42" dataDxfId="2058">
      <totalsRowFormula>($E$7-AP7)*10</totalsRowFormula>
    </tableColumn>
    <tableColumn id="43" xr3:uid="{848D16C0-37B9-4CB4-989F-796200AA3706}" uniqueName="43" name="Column43" totalsRowFunction="custom" queryTableFieldId="43" dataDxfId="2057">
      <totalsRowFormula>($E$7-AQ7)*10</totalsRowFormula>
    </tableColumn>
    <tableColumn id="44" xr3:uid="{92F820B5-7A43-40EB-942C-D19BE5FA778F}" uniqueName="44" name="Column44" totalsRowFunction="custom" queryTableFieldId="44" dataDxfId="2056">
      <totalsRowFormula>($E$7-AR7)*10</totalsRowFormula>
    </tableColumn>
    <tableColumn id="45" xr3:uid="{4E33D733-9618-4F90-A51F-AD65FAE28AB6}" uniqueName="45" name="Column45" totalsRowFunction="custom" queryTableFieldId="45" dataDxfId="2055">
      <totalsRowFormula>($E$7-AS7)*10</totalsRowFormula>
    </tableColumn>
    <tableColumn id="46" xr3:uid="{E2AF56C3-26F8-44DC-A7DE-6FB25E669B5F}" uniqueName="46" name="Column46" totalsRowFunction="custom" queryTableFieldId="46" dataDxfId="2054">
      <totalsRowFormula>($E$7-AT7)*10</totalsRowFormula>
    </tableColumn>
    <tableColumn id="47" xr3:uid="{A1CC1B93-C463-42F8-A5BB-53231BC7B622}" uniqueName="47" name="Column47" totalsRowFunction="custom" queryTableFieldId="47" dataDxfId="2053">
      <totalsRowFormula>($E$7-AU7)*10</totalsRowFormula>
    </tableColumn>
    <tableColumn id="48" xr3:uid="{DD3FDFD4-4BAA-4EBF-B4A9-2198251F50FF}" uniqueName="48" name="Column48" totalsRowFunction="custom" queryTableFieldId="48" dataDxfId="2052">
      <totalsRowFormula>($E$7-AV7)*10</totalsRowFormula>
    </tableColumn>
    <tableColumn id="49" xr3:uid="{15AFA600-2C6F-4641-9941-489AD0E3E4EB}" uniqueName="49" name="Column49" totalsRowFunction="custom" queryTableFieldId="49" dataDxfId="2051">
      <totalsRowFormula>($E$7-AW7)*10</totalsRowFormula>
    </tableColumn>
    <tableColumn id="50" xr3:uid="{9880D271-98E8-49EB-AEF7-F14A8EDF1F5B}" uniqueName="50" name="Column50" totalsRowFunction="custom" queryTableFieldId="50" dataDxfId="2050">
      <totalsRowFormula>($E$7-AX7)*10</totalsRowFormula>
    </tableColumn>
    <tableColumn id="51" xr3:uid="{48F2A84B-9D4D-4A42-BB07-15FE82CAF756}" uniqueName="51" name="Column51" totalsRowFunction="custom" queryTableFieldId="51" dataDxfId="2049">
      <totalsRowFormula>($E$7-AY7)*10</totalsRowFormula>
    </tableColumn>
    <tableColumn id="52" xr3:uid="{31D2DEB9-615D-41AB-8A43-B8AF7307C524}" uniqueName="52" name="Column52" totalsRowFunction="custom" queryTableFieldId="52" dataDxfId="2048">
      <totalsRowFormula>($E$7-AZ7)*10</totalsRowFormula>
    </tableColumn>
    <tableColumn id="53" xr3:uid="{2B043956-669F-4769-AC8B-900F35270C78}" uniqueName="53" name="Column53" totalsRowFunction="custom" queryTableFieldId="53" dataDxfId="2047">
      <totalsRowFormula>($E$7-BA7)*10</totalsRowFormula>
    </tableColumn>
    <tableColumn id="54" xr3:uid="{F7032AFD-BFA3-4B65-B265-7A71FD319608}" uniqueName="54" name="Column54" totalsRowFunction="custom" queryTableFieldId="54" dataDxfId="2046">
      <totalsRowFormula>($E$7-BB7)*10</totalsRowFormula>
    </tableColumn>
    <tableColumn id="55" xr3:uid="{ADF8BAD1-11BC-4615-AD41-1F180733BB3C}" uniqueName="55" name="Column55" totalsRowFunction="custom" queryTableFieldId="55" dataDxfId="2045">
      <totalsRowFormula>($E$7-BC7)*10</totalsRowFormula>
    </tableColumn>
    <tableColumn id="56" xr3:uid="{4986E02C-033E-4565-B543-1DBDCAB3D49B}" uniqueName="56" name="Column56" totalsRowFunction="custom" queryTableFieldId="56" dataDxfId="2044">
      <totalsRowFormula>($E$7-BD7)*10</totalsRowFormula>
    </tableColumn>
    <tableColumn id="57" xr3:uid="{1B62A180-3016-42E9-B997-A945010BBC5A}" uniqueName="57" name="Column57" totalsRowFunction="custom" queryTableFieldId="57" dataDxfId="2043">
      <totalsRowFormula>($E$7-BE7)*10</totalsRowFormula>
    </tableColumn>
    <tableColumn id="58" xr3:uid="{D8C2C6FA-9C0F-4CC4-9E80-CEEE70DB1786}" uniqueName="58" name="Column58" totalsRowFunction="custom" queryTableFieldId="58" dataDxfId="2042">
      <totalsRowFormula>($E$7-BF7)*10</totalsRowFormula>
    </tableColumn>
    <tableColumn id="59" xr3:uid="{78A11D8B-D97E-4AF5-B564-44EFFF11BC51}" uniqueName="59" name="Column59" totalsRowFunction="custom" queryTableFieldId="59" dataDxfId="2041">
      <totalsRowFormula>($E$7-BG7)*10</totalsRowFormula>
    </tableColumn>
    <tableColumn id="60" xr3:uid="{BC021644-886E-42D2-ADDE-64D01F0B8268}" uniqueName="60" name="Column60" totalsRowFunction="custom" queryTableFieldId="60" dataDxfId="2040">
      <totalsRowFormula>($E$7-BH7)*10</totalsRowFormula>
    </tableColumn>
    <tableColumn id="61" xr3:uid="{7AFC3AD2-81FB-4DF3-92E5-B507895B523C}" uniqueName="61" name="Column61" totalsRowFunction="custom" queryTableFieldId="61" dataDxfId="2039">
      <totalsRowFormula>($E$7-BI7)*10</totalsRowFormula>
    </tableColumn>
    <tableColumn id="62" xr3:uid="{751AF52D-2D29-477A-89B9-2B8E9C19F191}" uniqueName="62" name="Column62" totalsRowFunction="custom" queryTableFieldId="62" dataDxfId="2038">
      <totalsRowFormula>($E$7-BJ7)*10</totalsRowFormula>
    </tableColumn>
    <tableColumn id="63" xr3:uid="{510EA4E8-8824-45CB-A0EA-2D8DF67FA247}" uniqueName="63" name="Column63" totalsRowFunction="custom" queryTableFieldId="63" dataDxfId="2037">
      <totalsRowFormula>($E$7-BK7)*10</totalsRowFormula>
    </tableColumn>
    <tableColumn id="64" xr3:uid="{FA7B4A63-D0D3-4E59-9635-30078F368BAF}" uniqueName="64" name="Column64" totalsRowFunction="custom" queryTableFieldId="64" dataDxfId="2036">
      <totalsRowFormula>($E$7-BL7)*10</totalsRowFormula>
    </tableColumn>
    <tableColumn id="65" xr3:uid="{2F24226C-093B-422E-A93B-3EB0ABD933B3}" uniqueName="65" name="Column65" totalsRowFunction="custom" queryTableFieldId="65" dataDxfId="2035">
      <totalsRowFormula>($E$7-BM7)*10</totalsRowFormula>
    </tableColumn>
    <tableColumn id="66" xr3:uid="{C3F10F97-E6A6-40E6-8ABA-FCC674D3D2C5}" uniqueName="66" name="Column66" totalsRowFunction="custom" queryTableFieldId="66" dataDxfId="2034">
      <totalsRowFormula>($E$7-BN7)*10</totalsRowFormula>
    </tableColumn>
    <tableColumn id="67" xr3:uid="{959E21C3-8A8D-457E-B0A0-7C1A1EAA9A52}" uniqueName="67" name="Column67" totalsRowFunction="custom" queryTableFieldId="67" dataDxfId="2033">
      <totalsRowFormula>($E$7-BO7)*10</totalsRowFormula>
    </tableColumn>
    <tableColumn id="68" xr3:uid="{464B35DC-BCBF-487B-8E65-66D60E9AE42B}" uniqueName="68" name="Column68" totalsRowFunction="custom" queryTableFieldId="68" dataDxfId="2032">
      <totalsRowFormula>($E$7-BP7)*10</totalsRowFormula>
    </tableColumn>
    <tableColumn id="69" xr3:uid="{65082C88-9EE6-4212-8AE6-5527130E24F9}" uniqueName="69" name="Column69" totalsRowFunction="custom" queryTableFieldId="69" dataDxfId="2031">
      <totalsRowFormula>($E$7-BQ7)*10</totalsRowFormula>
    </tableColumn>
    <tableColumn id="70" xr3:uid="{76AC76F0-9E8C-431C-AEC3-60C6ABCAB664}" uniqueName="70" name="Column70" totalsRowFunction="custom" queryTableFieldId="70" dataDxfId="2030">
      <totalsRowFormula>($E$7-BR7)*10</totalsRowFormula>
    </tableColumn>
    <tableColumn id="71" xr3:uid="{735039DC-FEE5-4495-9EFB-4DAF74224405}" uniqueName="71" name="Column71" totalsRowFunction="custom" queryTableFieldId="71" dataDxfId="2029">
      <totalsRowFormula>($E$7-BS7)*10</totalsRowFormula>
    </tableColumn>
    <tableColumn id="72" xr3:uid="{DAC00A5C-21FB-46E3-9C54-DF2C45AAB80D}" uniqueName="72" name="Column72" totalsRowFunction="custom" queryTableFieldId="72" dataDxfId="2028">
      <totalsRowFormula>($E$7-BT7)*10</totalsRowFormula>
    </tableColumn>
    <tableColumn id="73" xr3:uid="{74A602B3-6604-469A-83BE-EE357551715D}" uniqueName="73" name="Column73" totalsRowFunction="custom" queryTableFieldId="73" dataDxfId="2027">
      <totalsRowFormula>($E$7-BU7)*10</totalsRowFormula>
    </tableColumn>
    <tableColumn id="74" xr3:uid="{845F3726-E5C4-40FF-98ED-6E66FFA295C4}" uniqueName="74" name="Column74" totalsRowFunction="custom" queryTableFieldId="74" dataDxfId="2026">
      <totalsRowFormula>($E$7-BV7)*10</totalsRowFormula>
    </tableColumn>
    <tableColumn id="75" xr3:uid="{B52ACCA3-14DF-418E-A4E3-1EE9209ABCEE}" uniqueName="75" name="Column75" totalsRowFunction="custom" queryTableFieldId="75" dataDxfId="2025">
      <totalsRowFormula>($E$7-BW7)*10</totalsRowFormula>
    </tableColumn>
    <tableColumn id="76" xr3:uid="{AD72583B-78A4-4F91-A547-21C2B70AB12F}" uniqueName="76" name="Column76" totalsRowFunction="custom" queryTableFieldId="76" dataDxfId="2024">
      <totalsRowFormula>($E$7-BX7)*10</totalsRowFormula>
    </tableColumn>
    <tableColumn id="77" xr3:uid="{84AF661A-FB51-4F45-9584-17F37F864315}" uniqueName="77" name="Column77" totalsRowFunction="custom" queryTableFieldId="77" dataDxfId="2023">
      <totalsRowFormula>($E$7-BY7)*10</totalsRowFormula>
    </tableColumn>
    <tableColumn id="78" xr3:uid="{3CB0226D-E428-401B-93F8-D3882294FB1E}" uniqueName="78" name="Column78" totalsRowFunction="custom" queryTableFieldId="78" dataDxfId="2022">
      <totalsRowFormula>($E$7-BZ7)*10</totalsRowFormula>
    </tableColumn>
    <tableColumn id="79" xr3:uid="{2D3B3EA9-8006-4551-80AE-A2C470211AB7}" uniqueName="79" name="Column79" totalsRowFunction="custom" queryTableFieldId="79" dataDxfId="2021">
      <totalsRowFormula>($E$7-CA7)*10</totalsRowFormula>
    </tableColumn>
    <tableColumn id="80" xr3:uid="{BA8FC9A5-FF30-4502-8861-9F314631137E}" uniqueName="80" name="Column80" totalsRowFunction="custom" queryTableFieldId="80" dataDxfId="2020">
      <totalsRowFormula>($E$7-CB7)*10</totalsRowFormula>
    </tableColumn>
    <tableColumn id="81" xr3:uid="{5CC67551-9325-4BD0-94A4-4719DC4CE56A}" uniqueName="81" name="Column81" totalsRowFunction="custom" queryTableFieldId="81" dataDxfId="2019">
      <totalsRowFormula>($E$7-CC7)*10</totalsRowFormula>
    </tableColumn>
    <tableColumn id="82" xr3:uid="{91E6C3D2-21B8-42B4-A5D5-E36EB37782CB}" uniqueName="82" name="Column82" totalsRowFunction="custom" queryTableFieldId="82" dataDxfId="2018">
      <totalsRowFormula>($E$7-CD7)*10</totalsRowFormula>
    </tableColumn>
    <tableColumn id="83" xr3:uid="{0E802215-6BBD-4CBB-BD82-D265133C34BD}" uniqueName="83" name="Column83" totalsRowFunction="custom" queryTableFieldId="83" dataDxfId="2017">
      <totalsRowFormula>($E$7-CE7)*10</totalsRowFormula>
    </tableColumn>
    <tableColumn id="84" xr3:uid="{857B1510-2FE7-469C-9686-456C5684B9CE}" uniqueName="84" name="Column84" totalsRowFunction="custom" queryTableFieldId="84" dataDxfId="2016">
      <totalsRowFormula>($E$7-CF7)*10</totalsRowFormula>
    </tableColumn>
    <tableColumn id="85" xr3:uid="{6ACDAC80-465F-4D39-8704-8B4EEDA0F3B5}" uniqueName="85" name="Column85" totalsRowFunction="custom" queryTableFieldId="85" dataDxfId="2015">
      <totalsRowFormula>($E$7-CG7)*10</totalsRowFormula>
    </tableColumn>
    <tableColumn id="86" xr3:uid="{3C8788F6-5A35-4410-B293-DF67A70941C6}" uniqueName="86" name="Column86" totalsRowFunction="custom" queryTableFieldId="86" dataDxfId="2014">
      <totalsRowFormula>($E$7-CH7)*10</totalsRowFormula>
    </tableColumn>
    <tableColumn id="87" xr3:uid="{45F1DBFB-47D2-4FB8-8FD8-B3A9E62D66EB}" uniqueName="87" name="Column87" totalsRowFunction="custom" queryTableFieldId="87" dataDxfId="2013">
      <totalsRowFormula>($E$7-CI7)*10</totalsRowFormula>
    </tableColumn>
    <tableColumn id="88" xr3:uid="{1070ED37-9E31-4172-B6C0-487A723A89B8}" uniqueName="88" name="Column88" totalsRowFunction="custom" queryTableFieldId="88" dataDxfId="2012">
      <totalsRowFormula>($E$7-CJ7)*10</totalsRowFormula>
    </tableColumn>
    <tableColumn id="89" xr3:uid="{41BD6E9F-216E-48AC-BA9F-F72973A222D2}" uniqueName="89" name="Column89" totalsRowFunction="custom" queryTableFieldId="89" dataDxfId="2011">
      <totalsRowFormula>($E$7-CK7)*10</totalsRowFormula>
    </tableColumn>
    <tableColumn id="90" xr3:uid="{515DE4BF-44AD-48EE-89C9-84FF32418ED4}" uniqueName="90" name="Column90" totalsRowFunction="custom" queryTableFieldId="90" dataDxfId="2010">
      <totalsRowFormula>($E$7-CL7)*10</totalsRowFormula>
    </tableColumn>
    <tableColumn id="91" xr3:uid="{033DD630-E0F5-4D0A-B8C4-C39BD6EADD34}" uniqueName="91" name="Column91" totalsRowFunction="custom" queryTableFieldId="91" dataDxfId="2009">
      <totalsRowFormula>($E$7-CM7)*10</totalsRowFormula>
    </tableColumn>
    <tableColumn id="92" xr3:uid="{569644AC-CEF3-49A2-B400-126336B292B1}" uniqueName="92" name="Column92" totalsRowFunction="custom" queryTableFieldId="92" dataDxfId="2008">
      <totalsRowFormula>($E$7-CN7)*10</totalsRowFormula>
    </tableColumn>
    <tableColumn id="93" xr3:uid="{6C9DB261-48DD-40B5-BEFE-5AA8FBE53273}" uniqueName="93" name="Column93" totalsRowFunction="custom" queryTableFieldId="93" dataDxfId="2007">
      <totalsRowFormula>($E$7-CO7)*10</totalsRowFormula>
    </tableColumn>
    <tableColumn id="94" xr3:uid="{95FE8D7B-7CC1-4869-917B-39336E589BBD}" uniqueName="94" name="Column94" totalsRowFunction="custom" queryTableFieldId="94" dataDxfId="2006">
      <totalsRowFormula>($E$7-CP7)*10</totalsRowFormula>
    </tableColumn>
    <tableColumn id="95" xr3:uid="{462BA67F-278F-4FD9-A28D-0A458C857D4C}" uniqueName="95" name="Column95" totalsRowFunction="custom" queryTableFieldId="95" dataDxfId="2005">
      <totalsRowFormula>($E$7-CQ7)*10</totalsRowFormula>
    </tableColumn>
    <tableColumn id="96" xr3:uid="{A0F35040-4A17-422B-8A78-200EEE1B29E0}" uniqueName="96" name="Column96" totalsRowFunction="custom" queryTableFieldId="96" dataDxfId="2004">
      <totalsRowFormula>($E$7-CR7)*10</totalsRowFormula>
    </tableColumn>
    <tableColumn id="97" xr3:uid="{98E3A3DE-6971-4DAE-BCFB-C20320F6812B}" uniqueName="97" name="Column97" totalsRowFunction="custom" queryTableFieldId="97" dataDxfId="2003">
      <totalsRowFormula>($E$7-CS7)*10</totalsRowFormula>
    </tableColumn>
    <tableColumn id="98" xr3:uid="{E3452E06-EFFC-497D-9342-13E5107A356B}" uniqueName="98" name="Column98" totalsRowFunction="custom" queryTableFieldId="98" dataDxfId="2002">
      <totalsRowFormula>($E$7-CT7)*10</totalsRowFormula>
    </tableColumn>
    <tableColumn id="99" xr3:uid="{A0E664E9-9133-442A-AD46-3DDA047E6345}" uniqueName="99" name="Column99" totalsRowFunction="custom" queryTableFieldId="99" dataDxfId="2001">
      <totalsRowFormula>($E$7-CU7)*10</totalsRowFormula>
    </tableColumn>
    <tableColumn id="100" xr3:uid="{FB1EC1E4-5A9C-4C6D-973D-7123369A0E94}" uniqueName="100" name="Column100" totalsRowFunction="custom" queryTableFieldId="100" dataDxfId="2000">
      <totalsRowFormula>($E$7-CV7)*10</totalsRow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114F5-9B55-4E2F-B3DD-8DA1AEE4CBA3}" name="pichMovement" displayName="pichMovement" ref="A1:ALL8" tableType="queryTable" totalsRowCount="1">
  <autoFilter ref="A1:ALL7" xr:uid="{B5A114F5-9B55-4E2F-B3DD-8DA1AEE4CBA3}"/>
  <tableColumns count="1000">
    <tableColumn id="1" xr3:uid="{9C608556-0CF3-4B58-8B22-057939B9F504}" uniqueName="1" name="Column1" totalsRowFunction="custom" queryTableFieldId="1" dataDxfId="1999" totalsRowDxfId="1998">
      <totalsRowFormula>-A7+$AX$7</totalsRowFormula>
    </tableColumn>
    <tableColumn id="2" xr3:uid="{6D3634D0-6D5F-4D9B-A66A-BDF931395A72}" uniqueName="2" name="Column2" totalsRowFunction="custom" queryTableFieldId="2" dataDxfId="1997" totalsRowDxfId="1996">
      <totalsRowFormula>-B7+$AX$7</totalsRowFormula>
    </tableColumn>
    <tableColumn id="3" xr3:uid="{BD035A94-C0C7-4D60-82CB-05B7232DE170}" uniqueName="3" name="Column3" totalsRowFunction="custom" queryTableFieldId="3" dataDxfId="1995" totalsRowDxfId="1994">
      <totalsRowFormula>-C7+$AX$7</totalsRowFormula>
    </tableColumn>
    <tableColumn id="4" xr3:uid="{1E0D96E8-4074-4964-B1AF-30CD18A240B9}" uniqueName="4" name="Column4" totalsRowFunction="custom" queryTableFieldId="4" dataDxfId="1993" totalsRowDxfId="1992">
      <totalsRowFormula>-D7+$AX$7</totalsRowFormula>
    </tableColumn>
    <tableColumn id="5" xr3:uid="{D957FEDB-B060-4135-8D48-8A07F8D6BAEB}" uniqueName="5" name="Column5" totalsRowFunction="custom" queryTableFieldId="5" dataDxfId="1991" totalsRowDxfId="1990">
      <totalsRowFormula>-E7+$AX$7</totalsRowFormula>
    </tableColumn>
    <tableColumn id="6" xr3:uid="{C6F87DB3-32FA-49FF-BBBE-9F8D836E851D}" uniqueName="6" name="Column6" totalsRowFunction="custom" queryTableFieldId="6" dataDxfId="1989" totalsRowDxfId="1988">
      <totalsRowFormula>-F7+$AX$7</totalsRowFormula>
    </tableColumn>
    <tableColumn id="7" xr3:uid="{E6864F0B-CB2F-422C-A58F-C152B0CCB85A}" uniqueName="7" name="Column7" totalsRowFunction="custom" queryTableFieldId="7" dataDxfId="1987" totalsRowDxfId="1986">
      <totalsRowFormula>-G7+$AX$7</totalsRowFormula>
    </tableColumn>
    <tableColumn id="8" xr3:uid="{B96C350F-83BC-40EB-9804-26440CD8293E}" uniqueName="8" name="Column8" totalsRowFunction="custom" queryTableFieldId="8" dataDxfId="1985" totalsRowDxfId="1984">
      <totalsRowFormula>-H7+$AX$7</totalsRowFormula>
    </tableColumn>
    <tableColumn id="9" xr3:uid="{15252E2B-C583-41A9-8620-7CD498DD3CC7}" uniqueName="9" name="Column9" totalsRowFunction="custom" queryTableFieldId="9" dataDxfId="1983" totalsRowDxfId="1982">
      <totalsRowFormula>-I7+$AX$7</totalsRowFormula>
    </tableColumn>
    <tableColumn id="10" xr3:uid="{4679AE04-4459-4829-937D-B176910CE82D}" uniqueName="10" name="Column10" totalsRowFunction="custom" queryTableFieldId="10" dataDxfId="1981" totalsRowDxfId="1980">
      <totalsRowFormula>-J7+$AX$7</totalsRowFormula>
    </tableColumn>
    <tableColumn id="11" xr3:uid="{1A760887-EA10-4820-BB5A-AEF56C84D46F}" uniqueName="11" name="Column11" totalsRowFunction="custom" queryTableFieldId="11" dataDxfId="1979" totalsRowDxfId="1978">
      <totalsRowFormula>-K7+$AX$7</totalsRowFormula>
    </tableColumn>
    <tableColumn id="12" xr3:uid="{3496397E-D0E3-490C-94AC-FD82C71E322F}" uniqueName="12" name="Column12" totalsRowFunction="custom" queryTableFieldId="12" dataDxfId="1977" totalsRowDxfId="1976">
      <totalsRowFormula>-L7+$AX$7</totalsRowFormula>
    </tableColumn>
    <tableColumn id="13" xr3:uid="{15C50870-4501-4DA9-868F-BB9C228527C2}" uniqueName="13" name="Column13" totalsRowFunction="custom" queryTableFieldId="13" dataDxfId="1975" totalsRowDxfId="1974">
      <totalsRowFormula>-M7+$AX$7</totalsRowFormula>
    </tableColumn>
    <tableColumn id="14" xr3:uid="{FAC3C73C-233D-4A2C-A992-D878699A69DE}" uniqueName="14" name="Column14" totalsRowFunction="custom" queryTableFieldId="14" dataDxfId="1973" totalsRowDxfId="1972">
      <totalsRowFormula>-N7+$AX$7</totalsRowFormula>
    </tableColumn>
    <tableColumn id="15" xr3:uid="{1702262F-738F-458E-81D8-DDAB1B7CC8E5}" uniqueName="15" name="Column15" totalsRowFunction="custom" queryTableFieldId="15" dataDxfId="1971" totalsRowDxfId="1970">
      <totalsRowFormula>-O7+$AX$7</totalsRowFormula>
    </tableColumn>
    <tableColumn id="16" xr3:uid="{DBBCDA56-D5E0-46F3-B3DB-808B5CE48541}" uniqueName="16" name="Column16" totalsRowFunction="custom" queryTableFieldId="16" dataDxfId="1969" totalsRowDxfId="1968">
      <totalsRowFormula>-P7+$AX$7</totalsRowFormula>
    </tableColumn>
    <tableColumn id="17" xr3:uid="{1E49AC35-5866-4700-9A57-647BB203D9C2}" uniqueName="17" name="Column17" totalsRowFunction="custom" queryTableFieldId="17" dataDxfId="1967" totalsRowDxfId="1966">
      <totalsRowFormula>-Q7+$AX$7</totalsRowFormula>
    </tableColumn>
    <tableColumn id="18" xr3:uid="{3B9EEECA-6601-4CD8-8990-F9CF5B77FAF6}" uniqueName="18" name="Column18" totalsRowFunction="custom" queryTableFieldId="18" dataDxfId="1965" totalsRowDxfId="1964">
      <totalsRowFormula>-R7+$AX$7</totalsRowFormula>
    </tableColumn>
    <tableColumn id="19" xr3:uid="{832ED5C8-CE95-4810-AB4C-534EA8B56A8E}" uniqueName="19" name="Column19" totalsRowFunction="custom" queryTableFieldId="19" dataDxfId="1963" totalsRowDxfId="1962">
      <totalsRowFormula>-S7+$AX$7</totalsRowFormula>
    </tableColumn>
    <tableColumn id="20" xr3:uid="{F1CFEAF4-88AB-49BD-B92B-FF832F6E825A}" uniqueName="20" name="Column20" totalsRowFunction="custom" queryTableFieldId="20" dataDxfId="1961" totalsRowDxfId="1960">
      <totalsRowFormula>-T7+$AX$7</totalsRowFormula>
    </tableColumn>
    <tableColumn id="21" xr3:uid="{6014980F-96CE-4F17-AF96-DBF524B04F3B}" uniqueName="21" name="Column21" totalsRowFunction="custom" queryTableFieldId="21" dataDxfId="1959" totalsRowDxfId="1958">
      <totalsRowFormula>-U7+$AX$7</totalsRowFormula>
    </tableColumn>
    <tableColumn id="22" xr3:uid="{D32FC846-F003-45AD-8D9C-FBB5996ED8CE}" uniqueName="22" name="Column22" totalsRowFunction="custom" queryTableFieldId="22" dataDxfId="1957" totalsRowDxfId="1956">
      <totalsRowFormula>-V7+$AX$7</totalsRowFormula>
    </tableColumn>
    <tableColumn id="23" xr3:uid="{C67F402A-F8F2-4AC3-A3B8-0F71E895E350}" uniqueName="23" name="Column23" totalsRowFunction="custom" queryTableFieldId="23" dataDxfId="1955" totalsRowDxfId="1954">
      <totalsRowFormula>-W7+$AX$7</totalsRowFormula>
    </tableColumn>
    <tableColumn id="24" xr3:uid="{3F548875-1C15-40E3-9503-E7D9CCAF6462}" uniqueName="24" name="Column24" totalsRowFunction="custom" queryTableFieldId="24" dataDxfId="1953" totalsRowDxfId="1952">
      <totalsRowFormula>-X7+$AX$7</totalsRowFormula>
    </tableColumn>
    <tableColumn id="25" xr3:uid="{AEAFB661-03D3-4AB7-956F-52413FFAF5A3}" uniqueName="25" name="Column25" totalsRowFunction="custom" queryTableFieldId="25" dataDxfId="1951" totalsRowDxfId="1950">
      <totalsRowFormula>-Y7+$AX$7</totalsRowFormula>
    </tableColumn>
    <tableColumn id="26" xr3:uid="{FB1D1250-65B1-481B-A011-707CAC3C9B43}" uniqueName="26" name="Column26" totalsRowFunction="custom" queryTableFieldId="26" dataDxfId="1949" totalsRowDxfId="1948">
      <totalsRowFormula>-Z7+$AX$7</totalsRowFormula>
    </tableColumn>
    <tableColumn id="27" xr3:uid="{8562082F-949D-4B3A-8CE9-76AD4CD475F0}" uniqueName="27" name="Column27" totalsRowFunction="custom" queryTableFieldId="27" dataDxfId="1947" totalsRowDxfId="1946">
      <totalsRowFormula>-AA7+$AX$7</totalsRowFormula>
    </tableColumn>
    <tableColumn id="28" xr3:uid="{57143755-FAF8-4DCD-ADB3-84C0C4359224}" uniqueName="28" name="Column28" totalsRowFunction="custom" queryTableFieldId="28" dataDxfId="1945" totalsRowDxfId="1944">
      <totalsRowFormula>-AB7+$AX$7</totalsRowFormula>
    </tableColumn>
    <tableColumn id="29" xr3:uid="{06A7AD21-FCA7-46D5-9536-76802E4245C6}" uniqueName="29" name="Column29" totalsRowFunction="custom" queryTableFieldId="29" dataDxfId="1943" totalsRowDxfId="1942">
      <totalsRowFormula>-AC7+$AX$7</totalsRowFormula>
    </tableColumn>
    <tableColumn id="30" xr3:uid="{9973BA14-8F5C-4CDC-A049-546808790D99}" uniqueName="30" name="Column30" totalsRowFunction="custom" queryTableFieldId="30" dataDxfId="1941" totalsRowDxfId="1940">
      <totalsRowFormula>-AD7+$AX$7</totalsRowFormula>
    </tableColumn>
    <tableColumn id="31" xr3:uid="{77F75CDF-9C81-4499-9503-690EE5EFEB08}" uniqueName="31" name="Column31" totalsRowFunction="custom" queryTableFieldId="31" dataDxfId="1939" totalsRowDxfId="1938">
      <totalsRowFormula>-AE7+$AX$7</totalsRowFormula>
    </tableColumn>
    <tableColumn id="32" xr3:uid="{95B547FB-607C-441F-9391-FB46D67629FD}" uniqueName="32" name="Column32" totalsRowFunction="custom" queryTableFieldId="32" dataDxfId="1937" totalsRowDxfId="1936">
      <totalsRowFormula>-AF7+$AX$7</totalsRowFormula>
    </tableColumn>
    <tableColumn id="33" xr3:uid="{4E2F8E06-E120-4F55-9351-B0F08CC6A12D}" uniqueName="33" name="Column33" totalsRowFunction="custom" queryTableFieldId="33" dataDxfId="1935" totalsRowDxfId="1934">
      <totalsRowFormula>-AG7+$AX$7</totalsRowFormula>
    </tableColumn>
    <tableColumn id="34" xr3:uid="{7954640A-CBB0-4DB5-A9A1-61BBF461C75E}" uniqueName="34" name="Column34" totalsRowFunction="custom" queryTableFieldId="34" dataDxfId="1933" totalsRowDxfId="1932">
      <totalsRowFormula>-AH7+$AX$7</totalsRowFormula>
    </tableColumn>
    <tableColumn id="35" xr3:uid="{FC46755F-07E9-43DD-9B14-75AFFF933A49}" uniqueName="35" name="Column35" totalsRowFunction="custom" queryTableFieldId="35" dataDxfId="1931" totalsRowDxfId="1930">
      <totalsRowFormula>-AI7+$AX$7</totalsRowFormula>
    </tableColumn>
    <tableColumn id="36" xr3:uid="{9A845BBF-642A-46DA-A235-0CE9A9DF3407}" uniqueName="36" name="Column36" totalsRowFunction="custom" queryTableFieldId="36" dataDxfId="1929" totalsRowDxfId="1928">
      <totalsRowFormula>-AJ7+$AX$7</totalsRowFormula>
    </tableColumn>
    <tableColumn id="37" xr3:uid="{854A26B7-A3ED-4B23-85E4-13FD6CBDD971}" uniqueName="37" name="Column37" totalsRowFunction="custom" queryTableFieldId="37" dataDxfId="1927" totalsRowDxfId="1926">
      <totalsRowFormula>-AK7+$AX$7</totalsRowFormula>
    </tableColumn>
    <tableColumn id="38" xr3:uid="{F051C733-8195-48CF-BBDC-0933421C3B4E}" uniqueName="38" name="Column38" totalsRowFunction="custom" queryTableFieldId="38" dataDxfId="1925" totalsRowDxfId="1924">
      <totalsRowFormula>-AL7+$AX$7</totalsRowFormula>
    </tableColumn>
    <tableColumn id="39" xr3:uid="{DEB7A35F-4326-4C2F-B878-69A86C9B05EC}" uniqueName="39" name="Column39" totalsRowFunction="custom" queryTableFieldId="39" dataDxfId="1923" totalsRowDxfId="1922">
      <totalsRowFormula>-AM7+$AX$7</totalsRowFormula>
    </tableColumn>
    <tableColumn id="40" xr3:uid="{14FF28B6-FE03-45DA-A601-0DFFBF44EE8C}" uniqueName="40" name="Column40" totalsRowFunction="custom" queryTableFieldId="40" dataDxfId="1921" totalsRowDxfId="1920">
      <totalsRowFormula>-AN7+$AX$7</totalsRowFormula>
    </tableColumn>
    <tableColumn id="41" xr3:uid="{62F36038-284E-4A27-B772-DA99FECBF240}" uniqueName="41" name="Column41" totalsRowFunction="custom" queryTableFieldId="41" dataDxfId="1919" totalsRowDxfId="1918">
      <totalsRowFormula>-AO7+$AX$7</totalsRowFormula>
    </tableColumn>
    <tableColumn id="42" xr3:uid="{9696067F-5BC5-4A6D-AACB-0C23B39D4068}" uniqueName="42" name="Column42" totalsRowFunction="custom" queryTableFieldId="42" dataDxfId="1917" totalsRowDxfId="1916">
      <totalsRowFormula>-AP7+$AX$7</totalsRowFormula>
    </tableColumn>
    <tableColumn id="43" xr3:uid="{AADF4731-78BF-4F70-B5F4-00ED1EBFFCC6}" uniqueName="43" name="Column43" totalsRowFunction="custom" queryTableFieldId="43" dataDxfId="1915" totalsRowDxfId="1914">
      <totalsRowFormula>-AQ7+$AX$7</totalsRowFormula>
    </tableColumn>
    <tableColumn id="44" xr3:uid="{64ECA1FE-EB97-4462-8A65-A7DC517356ED}" uniqueName="44" name="Column44" totalsRowFunction="custom" queryTableFieldId="44" dataDxfId="1913" totalsRowDxfId="1912">
      <totalsRowFormula>-AR7+$AX$7</totalsRowFormula>
    </tableColumn>
    <tableColumn id="45" xr3:uid="{1C46B256-B7D6-4722-B125-128E3F276769}" uniqueName="45" name="Column45" totalsRowFunction="custom" queryTableFieldId="45" dataDxfId="1911" totalsRowDxfId="1910">
      <totalsRowFormula>-AS7+$AX$7</totalsRowFormula>
    </tableColumn>
    <tableColumn id="46" xr3:uid="{5539D71D-C5C7-431C-BEE2-F04C0DFEB700}" uniqueName="46" name="Column46" totalsRowFunction="custom" queryTableFieldId="46" dataDxfId="1909" totalsRowDxfId="1908">
      <totalsRowFormula>-AT7+$AX$7</totalsRowFormula>
    </tableColumn>
    <tableColumn id="47" xr3:uid="{CF8C67F6-A68F-443C-9AE7-34B29595143D}" uniqueName="47" name="Column47" totalsRowFunction="custom" queryTableFieldId="47" dataDxfId="1907" totalsRowDxfId="1906">
      <totalsRowFormula>-AU7+$AX$7</totalsRowFormula>
    </tableColumn>
    <tableColumn id="48" xr3:uid="{531E3AB5-C6C6-4309-A5AD-BD4741389F94}" uniqueName="48" name="Column48" totalsRowFunction="custom" queryTableFieldId="48" dataDxfId="1905" totalsRowDxfId="1904">
      <totalsRowFormula>-AV7+$AX$7</totalsRowFormula>
    </tableColumn>
    <tableColumn id="49" xr3:uid="{205D6205-740C-4783-B148-2008970E9970}" uniqueName="49" name="Column49" totalsRowFunction="custom" queryTableFieldId="49" dataDxfId="1903" totalsRowDxfId="1902">
      <totalsRowFormula>-AW7+$AX$7</totalsRowFormula>
    </tableColumn>
    <tableColumn id="50" xr3:uid="{5E27F9E2-8EEB-4394-B0E5-D35A300217FC}" uniqueName="50" name="Column50" totalsRowFunction="custom" queryTableFieldId="50" dataDxfId="1901" totalsRowDxfId="1900">
      <totalsRowFormula>-AX7+$AX$7</totalsRowFormula>
    </tableColumn>
    <tableColumn id="51" xr3:uid="{47CFA1E9-EC2B-41CC-B596-2BD8F9F7CDF3}" uniqueName="51" name="Column51" totalsRowFunction="custom" queryTableFieldId="51" dataDxfId="1899" totalsRowDxfId="1898">
      <totalsRowFormula>-AY7+$AX$7</totalsRowFormula>
    </tableColumn>
    <tableColumn id="52" xr3:uid="{D5295B07-AEDA-4D3C-8A68-B93E7F7F01DD}" uniqueName="52" name="Column52" totalsRowFunction="custom" queryTableFieldId="52" dataDxfId="1897" totalsRowDxfId="1896">
      <totalsRowFormula>-AZ7+$AX$7</totalsRowFormula>
    </tableColumn>
    <tableColumn id="53" xr3:uid="{8D0CB728-EC59-4238-B79C-3C0A2D66634A}" uniqueName="53" name="Column53" totalsRowFunction="custom" queryTableFieldId="53" dataDxfId="1895" totalsRowDxfId="1894">
      <totalsRowFormula>-BA7+$AX$7</totalsRowFormula>
    </tableColumn>
    <tableColumn id="54" xr3:uid="{4B97B48F-DCBF-4904-B773-69C710EA6BD0}" uniqueName="54" name="Column54" totalsRowFunction="custom" queryTableFieldId="54" dataDxfId="1893" totalsRowDxfId="1892">
      <totalsRowFormula>-BB7+$AX$7</totalsRowFormula>
    </tableColumn>
    <tableColumn id="55" xr3:uid="{9AFDD0F5-B9FD-443B-B833-60DE542CEA76}" uniqueName="55" name="Column55" totalsRowFunction="custom" queryTableFieldId="55" dataDxfId="1891" totalsRowDxfId="1890">
      <totalsRowFormula>-BC7+$AX$7</totalsRowFormula>
    </tableColumn>
    <tableColumn id="56" xr3:uid="{FC10A316-4E63-47A5-BCE6-40B8FEEA0A08}" uniqueName="56" name="Column56" totalsRowFunction="custom" queryTableFieldId="56" dataDxfId="1889" totalsRowDxfId="1888">
      <totalsRowFormula>-BD7+$AX$7</totalsRowFormula>
    </tableColumn>
    <tableColumn id="57" xr3:uid="{0EAF7873-E994-4330-9B9A-2C939DA9883F}" uniqueName="57" name="Column57" totalsRowFunction="custom" queryTableFieldId="57" dataDxfId="1887" totalsRowDxfId="1886">
      <totalsRowFormula>-BE7+$AX$7</totalsRowFormula>
    </tableColumn>
    <tableColumn id="58" xr3:uid="{3D3978D9-429A-426A-9A19-21426220F428}" uniqueName="58" name="Column58" totalsRowFunction="custom" queryTableFieldId="58" dataDxfId="1885" totalsRowDxfId="1884">
      <totalsRowFormula>-BF7+$AX$7</totalsRowFormula>
    </tableColumn>
    <tableColumn id="59" xr3:uid="{E94ED190-B7DB-49E7-813E-F246B7CBA102}" uniqueName="59" name="Column59" totalsRowFunction="custom" queryTableFieldId="59" dataDxfId="1883" totalsRowDxfId="1882">
      <totalsRowFormula>-BG7+$AX$7</totalsRowFormula>
    </tableColumn>
    <tableColumn id="60" xr3:uid="{E106A685-325E-4284-9BCB-61430718B6F1}" uniqueName="60" name="Column60" totalsRowFunction="custom" queryTableFieldId="60" dataDxfId="1881" totalsRowDxfId="1880">
      <totalsRowFormula>-BH7+$AX$7</totalsRowFormula>
    </tableColumn>
    <tableColumn id="61" xr3:uid="{40C6D464-635D-4CAF-8EB8-65C8DBDAD698}" uniqueName="61" name="Column61" totalsRowFunction="custom" queryTableFieldId="61" dataDxfId="1879" totalsRowDxfId="1878">
      <totalsRowFormula>-BI7+$AX$7</totalsRowFormula>
    </tableColumn>
    <tableColumn id="62" xr3:uid="{C8B20E3C-F6F6-42CA-B55D-61D77D0B6BCE}" uniqueName="62" name="Column62" totalsRowFunction="custom" queryTableFieldId="62" dataDxfId="1877" totalsRowDxfId="1876">
      <totalsRowFormula>-BJ7+$AX$7</totalsRowFormula>
    </tableColumn>
    <tableColumn id="63" xr3:uid="{C25FA7C2-3806-4560-BC78-1DFB4BBCE83B}" uniqueName="63" name="Column63" totalsRowFunction="custom" queryTableFieldId="63" dataDxfId="1875" totalsRowDxfId="1874">
      <totalsRowFormula>-BK7+$AX$7</totalsRowFormula>
    </tableColumn>
    <tableColumn id="64" xr3:uid="{804AD81E-3E65-444A-9EC3-E36C426E2640}" uniqueName="64" name="Column64" totalsRowFunction="custom" queryTableFieldId="64" dataDxfId="1873" totalsRowDxfId="1872">
      <totalsRowFormula>-BL7+$AX$7</totalsRowFormula>
    </tableColumn>
    <tableColumn id="65" xr3:uid="{72F337FB-6157-4314-A453-2036BC9C9E1C}" uniqueName="65" name="Column65" totalsRowFunction="custom" queryTableFieldId="65" dataDxfId="1871" totalsRowDxfId="1870">
      <totalsRowFormula>-BM7+$AX$7</totalsRowFormula>
    </tableColumn>
    <tableColumn id="66" xr3:uid="{9D1D9969-AE17-446C-998B-298B264C85CF}" uniqueName="66" name="Column66" totalsRowFunction="custom" queryTableFieldId="66" dataDxfId="1869" totalsRowDxfId="1868">
      <totalsRowFormula>-BN7+$AX$7</totalsRowFormula>
    </tableColumn>
    <tableColumn id="67" xr3:uid="{0A4E6274-84D4-4528-B6CA-2013056E4980}" uniqueName="67" name="Column67" totalsRowFunction="custom" queryTableFieldId="67" dataDxfId="1867" totalsRowDxfId="1866">
      <totalsRowFormula>-BO7+$AX$7</totalsRowFormula>
    </tableColumn>
    <tableColumn id="68" xr3:uid="{39D48057-A758-4061-A679-7CED81EB7BFA}" uniqueName="68" name="Column68" totalsRowFunction="custom" queryTableFieldId="68" dataDxfId="1865" totalsRowDxfId="1864">
      <totalsRowFormula>-BP7+$AX$7</totalsRowFormula>
    </tableColumn>
    <tableColumn id="69" xr3:uid="{F0ACF1E9-531B-4CDD-AD18-509DA649BB73}" uniqueName="69" name="Column69" totalsRowFunction="custom" queryTableFieldId="69" dataDxfId="1863" totalsRowDxfId="1862">
      <totalsRowFormula>-BQ7+$AX$7</totalsRowFormula>
    </tableColumn>
    <tableColumn id="70" xr3:uid="{9AE036CB-62DF-488D-BBEE-E996B8E5ECC5}" uniqueName="70" name="Column70" totalsRowFunction="custom" queryTableFieldId="70" dataDxfId="1861" totalsRowDxfId="1860">
      <totalsRowFormula>-BR7+$AX$7</totalsRowFormula>
    </tableColumn>
    <tableColumn id="71" xr3:uid="{84618A75-B983-404B-9FDE-4798CB683384}" uniqueName="71" name="Column71" totalsRowFunction="custom" queryTableFieldId="71" dataDxfId="1859" totalsRowDxfId="1858">
      <totalsRowFormula>-BS7+$AX$7</totalsRowFormula>
    </tableColumn>
    <tableColumn id="72" xr3:uid="{9BC169E2-3BBB-43CD-9F38-98FAF1AEC2D2}" uniqueName="72" name="Column72" totalsRowFunction="custom" queryTableFieldId="72" dataDxfId="1857" totalsRowDxfId="1856">
      <totalsRowFormula>-BT7+$AX$7</totalsRowFormula>
    </tableColumn>
    <tableColumn id="73" xr3:uid="{D5823819-4F8D-463A-9282-019B3248CB8C}" uniqueName="73" name="Column73" totalsRowFunction="custom" queryTableFieldId="73" dataDxfId="1855" totalsRowDxfId="1854">
      <totalsRowFormula>-BU7+$AX$7</totalsRowFormula>
    </tableColumn>
    <tableColumn id="74" xr3:uid="{4CB3AAA3-5E46-4D8C-AB85-A5ED8669BDA4}" uniqueName="74" name="Column74" totalsRowFunction="custom" queryTableFieldId="74" dataDxfId="1853" totalsRowDxfId="1852">
      <totalsRowFormula>-BV7+$AX$7</totalsRowFormula>
    </tableColumn>
    <tableColumn id="75" xr3:uid="{42C39753-6FB5-40F9-89E7-DB05F35C0A30}" uniqueName="75" name="Column75" totalsRowFunction="custom" queryTableFieldId="75" dataDxfId="1851" totalsRowDxfId="1850">
      <totalsRowFormula>-BW7+$AX$7</totalsRowFormula>
    </tableColumn>
    <tableColumn id="76" xr3:uid="{6D4EA2E7-9513-4FD6-A1BF-D3A8F19FDDC9}" uniqueName="76" name="Column76" totalsRowFunction="custom" queryTableFieldId="76" dataDxfId="1849" totalsRowDxfId="1848">
      <totalsRowFormula>-BX7+$AX$7</totalsRowFormula>
    </tableColumn>
    <tableColumn id="77" xr3:uid="{685A5BCC-30C3-4BA1-B18F-5853DC1E7AC7}" uniqueName="77" name="Column77" totalsRowFunction="custom" queryTableFieldId="77" dataDxfId="1847" totalsRowDxfId="1846">
      <totalsRowFormula>-BY7+$AX$7</totalsRowFormula>
    </tableColumn>
    <tableColumn id="78" xr3:uid="{1C433491-EE07-4C86-B0E0-42CC4C6071B5}" uniqueName="78" name="Column78" totalsRowFunction="custom" queryTableFieldId="78" dataDxfId="1845" totalsRowDxfId="1844">
      <totalsRowFormula>-BZ7+$AX$7</totalsRowFormula>
    </tableColumn>
    <tableColumn id="79" xr3:uid="{BDF49655-6BBB-4137-8ABF-BE66DF2081AF}" uniqueName="79" name="Column79" totalsRowFunction="custom" queryTableFieldId="79" dataDxfId="1843" totalsRowDxfId="1842">
      <totalsRowFormula>-CA7+$AX$7</totalsRowFormula>
    </tableColumn>
    <tableColumn id="80" xr3:uid="{46F2586D-2D5E-42C2-BB9D-DB97B8530877}" uniqueName="80" name="Column80" totalsRowFunction="custom" queryTableFieldId="80" dataDxfId="1841" totalsRowDxfId="1840">
      <totalsRowFormula>-CB7+$AX$7</totalsRowFormula>
    </tableColumn>
    <tableColumn id="81" xr3:uid="{AEE0D351-8740-4FF9-9C07-01106D52DA9A}" uniqueName="81" name="Column81" totalsRowFunction="custom" queryTableFieldId="81" dataDxfId="1839" totalsRowDxfId="1838">
      <totalsRowFormula>-CC7+$AX$7</totalsRowFormula>
    </tableColumn>
    <tableColumn id="82" xr3:uid="{4E7707E1-9471-414C-A2CF-4A9CD6C7B2E5}" uniqueName="82" name="Column82" totalsRowFunction="custom" queryTableFieldId="82" dataDxfId="1837" totalsRowDxfId="1836">
      <totalsRowFormula>-CD7+$AX$7</totalsRowFormula>
    </tableColumn>
    <tableColumn id="83" xr3:uid="{6FC620C3-0ED4-4DB4-83E3-BD238D3ACC5D}" uniqueName="83" name="Column83" totalsRowFunction="custom" queryTableFieldId="83" dataDxfId="1835" totalsRowDxfId="1834">
      <totalsRowFormula>-CE7+$AX$7</totalsRowFormula>
    </tableColumn>
    <tableColumn id="84" xr3:uid="{AF385629-579B-4D64-AF78-53AEF58DA5F8}" uniqueName="84" name="Column84" totalsRowFunction="custom" queryTableFieldId="84" dataDxfId="1833" totalsRowDxfId="1832">
      <totalsRowFormula>-CF7+$AX$7</totalsRowFormula>
    </tableColumn>
    <tableColumn id="85" xr3:uid="{35B80D7F-4C7C-4512-8622-72CE22C7680F}" uniqueName="85" name="Column85" totalsRowFunction="custom" queryTableFieldId="85" dataDxfId="1831" totalsRowDxfId="1830">
      <totalsRowFormula>-CG7+$AX$7</totalsRowFormula>
    </tableColumn>
    <tableColumn id="86" xr3:uid="{C3046363-F227-47F2-A4ED-41141410B002}" uniqueName="86" name="Column86" totalsRowFunction="custom" queryTableFieldId="86" dataDxfId="1829" totalsRowDxfId="1828">
      <totalsRowFormula>-CH7+$AX$7</totalsRowFormula>
    </tableColumn>
    <tableColumn id="87" xr3:uid="{95060897-2E5F-40D4-ADA3-8E04E85452A6}" uniqueName="87" name="Column87" totalsRowFunction="custom" queryTableFieldId="87" dataDxfId="1827" totalsRowDxfId="1826">
      <totalsRowFormula>-CI7+$AX$7</totalsRowFormula>
    </tableColumn>
    <tableColumn id="88" xr3:uid="{AA97364F-23E4-4519-B656-D67F9D7B2A98}" uniqueName="88" name="Column88" totalsRowFunction="custom" queryTableFieldId="88" dataDxfId="1825" totalsRowDxfId="1824">
      <totalsRowFormula>-CJ7+$AX$7</totalsRowFormula>
    </tableColumn>
    <tableColumn id="89" xr3:uid="{55156920-80B2-4F31-98A7-8E2F98FAC3F4}" uniqueName="89" name="Column89" totalsRowFunction="custom" queryTableFieldId="89" dataDxfId="1823" totalsRowDxfId="1822">
      <totalsRowFormula>-CK7+$AX$7</totalsRowFormula>
    </tableColumn>
    <tableColumn id="90" xr3:uid="{EED48001-6FA3-4298-93F0-01F360A51204}" uniqueName="90" name="Column90" totalsRowFunction="custom" queryTableFieldId="90" dataDxfId="1821" totalsRowDxfId="1820">
      <totalsRowFormula>-CL7+$AX$7</totalsRowFormula>
    </tableColumn>
    <tableColumn id="91" xr3:uid="{0EA19B3D-9393-4E5C-8495-ACC50362B875}" uniqueName="91" name="Column91" totalsRowFunction="custom" queryTableFieldId="91" dataDxfId="1819" totalsRowDxfId="1818">
      <totalsRowFormula>-CM7+$AX$7</totalsRowFormula>
    </tableColumn>
    <tableColumn id="92" xr3:uid="{B204A5C0-D2D3-4F91-B137-2C5D5F86A669}" uniqueName="92" name="Column92" totalsRowFunction="custom" queryTableFieldId="92" dataDxfId="1817" totalsRowDxfId="1816">
      <totalsRowFormula>-CN7+$AX$7</totalsRowFormula>
    </tableColumn>
    <tableColumn id="93" xr3:uid="{CCF1690F-1BC5-485B-A59B-26758AC5CCEC}" uniqueName="93" name="Column93" totalsRowFunction="custom" queryTableFieldId="93" dataDxfId="1815" totalsRowDxfId="1814">
      <totalsRowFormula>-CO7+$AX$7</totalsRowFormula>
    </tableColumn>
    <tableColumn id="94" xr3:uid="{E286251E-0379-46F3-B13F-10F4D829B706}" uniqueName="94" name="Column94" totalsRowFunction="custom" queryTableFieldId="94" dataDxfId="1813" totalsRowDxfId="1812">
      <totalsRowFormula>-CP7+$AX$7</totalsRowFormula>
    </tableColumn>
    <tableColumn id="95" xr3:uid="{096A235D-13C1-4898-9D5A-52F28ABF56F6}" uniqueName="95" name="Column95" totalsRowFunction="custom" queryTableFieldId="95" dataDxfId="1811" totalsRowDxfId="1810">
      <totalsRowFormula>-CQ7+$AX$7</totalsRowFormula>
    </tableColumn>
    <tableColumn id="96" xr3:uid="{81D1B795-CBC1-4BCA-A603-0345B35B1591}" uniqueName="96" name="Column96" totalsRowFunction="custom" queryTableFieldId="96" dataDxfId="1809" totalsRowDxfId="1808">
      <totalsRowFormula>-CR7+$AX$7</totalsRowFormula>
    </tableColumn>
    <tableColumn id="97" xr3:uid="{967CC4C5-E1B2-4BCD-A9C4-97A61A14A10F}" uniqueName="97" name="Column97" totalsRowFunction="custom" queryTableFieldId="97" dataDxfId="1807" totalsRowDxfId="1806">
      <totalsRowFormula>-CS7+$AX$7</totalsRowFormula>
    </tableColumn>
    <tableColumn id="98" xr3:uid="{3A6CD320-8BF5-4B31-A9D2-92F1DD57AA4E}" uniqueName="98" name="Column98" totalsRowFunction="custom" queryTableFieldId="98" dataDxfId="1805" totalsRowDxfId="1804">
      <totalsRowFormula>-CT7+$AX$7</totalsRowFormula>
    </tableColumn>
    <tableColumn id="99" xr3:uid="{42ABC2BE-391C-41C0-A8E9-9A9475BE23B7}" uniqueName="99" name="Column99" totalsRowFunction="custom" queryTableFieldId="99" dataDxfId="1803" totalsRowDxfId="1802">
      <totalsRowFormula>-CU7+$AX$7</totalsRowFormula>
    </tableColumn>
    <tableColumn id="100" xr3:uid="{9593AC0B-9A94-4C05-9402-D5D4FC9C06FA}" uniqueName="100" name="Column100" totalsRowFunction="custom" queryTableFieldId="100" dataDxfId="1801" totalsRowDxfId="1800">
      <totalsRowFormula>-CV7+$AX$7</totalsRowFormula>
    </tableColumn>
    <tableColumn id="101" xr3:uid="{BEF23F4D-2B0F-4032-8E63-0803F8950156}" uniqueName="101" name="Column101" totalsRowFunction="custom" queryTableFieldId="101" dataDxfId="1799" totalsRowDxfId="1798">
      <totalsRowFormula>-CW7+$AX$7</totalsRowFormula>
    </tableColumn>
    <tableColumn id="102" xr3:uid="{18E12805-B366-4165-9615-73AAC8DC7192}" uniqueName="102" name="Column102" totalsRowFunction="custom" queryTableFieldId="102" dataDxfId="1797" totalsRowDxfId="1796">
      <totalsRowFormula>-CX7+$AX$7</totalsRowFormula>
    </tableColumn>
    <tableColumn id="103" xr3:uid="{602D2F06-B0F9-4233-8CBF-CCC68D5C5158}" uniqueName="103" name="Column103" totalsRowFunction="custom" queryTableFieldId="103" dataDxfId="1795" totalsRowDxfId="1794">
      <totalsRowFormula>-CY7+$AX$7</totalsRowFormula>
    </tableColumn>
    <tableColumn id="104" xr3:uid="{1F619A5D-B545-45E6-9DBC-3BB770ABEF04}" uniqueName="104" name="Column104" totalsRowFunction="custom" queryTableFieldId="104" dataDxfId="1793" totalsRowDxfId="1792">
      <totalsRowFormula>-CZ7+$AX$7</totalsRowFormula>
    </tableColumn>
    <tableColumn id="105" xr3:uid="{B22299C6-D5DB-4BD4-9CB3-8C499E5BEBD8}" uniqueName="105" name="Column105" totalsRowFunction="custom" queryTableFieldId="105" dataDxfId="1791" totalsRowDxfId="1790">
      <totalsRowFormula>-DA7+$AX$7</totalsRowFormula>
    </tableColumn>
    <tableColumn id="106" xr3:uid="{91955CD2-CDD9-48C2-AB5C-21CBCD9BA32B}" uniqueName="106" name="Column106" totalsRowFunction="custom" queryTableFieldId="106" dataDxfId="1789" totalsRowDxfId="1788">
      <totalsRowFormula>-DB7+$AX$7</totalsRowFormula>
    </tableColumn>
    <tableColumn id="107" xr3:uid="{BB51A22F-FD3F-4A44-9854-DE53C1AD0FE6}" uniqueName="107" name="Column107" totalsRowFunction="custom" queryTableFieldId="107" dataDxfId="1787" totalsRowDxfId="1786">
      <totalsRowFormula>-DC7+$AX$7</totalsRowFormula>
    </tableColumn>
    <tableColumn id="108" xr3:uid="{24A1FC40-CD16-49DE-93CE-78A8C2C38E7C}" uniqueName="108" name="Column108" totalsRowFunction="custom" queryTableFieldId="108" dataDxfId="1785" totalsRowDxfId="1784">
      <totalsRowFormula>-DD7+$AX$7</totalsRowFormula>
    </tableColumn>
    <tableColumn id="109" xr3:uid="{B9885710-2333-4AE6-B3C1-BB9C14CB01E2}" uniqueName="109" name="Column109" totalsRowFunction="custom" queryTableFieldId="109" dataDxfId="1783" totalsRowDxfId="1782">
      <totalsRowFormula>-DE7+$AX$7</totalsRowFormula>
    </tableColumn>
    <tableColumn id="110" xr3:uid="{016B5CF4-D591-475F-B341-903B9C64FA31}" uniqueName="110" name="Column110" totalsRowFunction="custom" queryTableFieldId="110" dataDxfId="1781" totalsRowDxfId="1780">
      <totalsRowFormula>-DF7+$AX$7</totalsRowFormula>
    </tableColumn>
    <tableColumn id="111" xr3:uid="{85C659F6-628E-4694-8D81-827F45420CD6}" uniqueName="111" name="Column111" totalsRowFunction="custom" queryTableFieldId="111" dataDxfId="1779" totalsRowDxfId="1778">
      <totalsRowFormula>-DG7+$AX$7</totalsRowFormula>
    </tableColumn>
    <tableColumn id="112" xr3:uid="{24FA91D4-074E-4CBC-AEF3-297342ABF8E4}" uniqueName="112" name="Column112" totalsRowFunction="custom" queryTableFieldId="112" dataDxfId="1777" totalsRowDxfId="1776">
      <totalsRowFormula>-DH7+$AX$7</totalsRowFormula>
    </tableColumn>
    <tableColumn id="113" xr3:uid="{0535350E-9BE3-40C1-A35D-A9D1B70E3B18}" uniqueName="113" name="Column113" totalsRowFunction="custom" queryTableFieldId="113" dataDxfId="1775" totalsRowDxfId="1774">
      <totalsRowFormula>-DI7+$AX$7</totalsRowFormula>
    </tableColumn>
    <tableColumn id="114" xr3:uid="{05699476-4169-4DE8-B814-A8864B211AC8}" uniqueName="114" name="Column114" totalsRowFunction="custom" queryTableFieldId="114" dataDxfId="1773" totalsRowDxfId="1772">
      <totalsRowFormula>-DJ7+$AX$7</totalsRowFormula>
    </tableColumn>
    <tableColumn id="115" xr3:uid="{418BE605-CA26-4C9D-BCFE-64EF26ABD030}" uniqueName="115" name="Column115" totalsRowFunction="custom" queryTableFieldId="115" dataDxfId="1771" totalsRowDxfId="1770">
      <totalsRowFormula>-DK7+$AX$7</totalsRowFormula>
    </tableColumn>
    <tableColumn id="116" xr3:uid="{81FFB0CD-4308-42D4-BEE8-A2B33A72D47F}" uniqueName="116" name="Column116" totalsRowFunction="custom" queryTableFieldId="116" dataDxfId="1769" totalsRowDxfId="1768">
      <totalsRowFormula>-DL7+$AX$7</totalsRowFormula>
    </tableColumn>
    <tableColumn id="117" xr3:uid="{ADDDE66D-8919-408E-BA97-C234C94C1C4D}" uniqueName="117" name="Column117" totalsRowFunction="custom" queryTableFieldId="117" dataDxfId="1767" totalsRowDxfId="1766">
      <totalsRowFormula>-DM7+$AX$7</totalsRowFormula>
    </tableColumn>
    <tableColumn id="118" xr3:uid="{D8DDB03C-6BBA-44DF-B5B2-E246F3E4F86D}" uniqueName="118" name="Column118" totalsRowFunction="custom" queryTableFieldId="118" dataDxfId="1765" totalsRowDxfId="1764">
      <totalsRowFormula>-DN7+$AX$7</totalsRowFormula>
    </tableColumn>
    <tableColumn id="119" xr3:uid="{7053C386-57A8-4C80-85A2-ADB10C7E858B}" uniqueName="119" name="Column119" totalsRowFunction="custom" queryTableFieldId="119" dataDxfId="1763" totalsRowDxfId="1762">
      <totalsRowFormula>-DO7+$AX$7</totalsRowFormula>
    </tableColumn>
    <tableColumn id="120" xr3:uid="{6EC1F5D4-DD5F-4B9F-8400-91AB0C3F7CCA}" uniqueName="120" name="Column120" totalsRowFunction="custom" queryTableFieldId="120" dataDxfId="1761" totalsRowDxfId="1760">
      <totalsRowFormula>-DP7+$AX$7</totalsRowFormula>
    </tableColumn>
    <tableColumn id="121" xr3:uid="{B897090D-5F8C-4EA9-AD9B-A48B6BB01926}" uniqueName="121" name="Column121" totalsRowFunction="custom" queryTableFieldId="121" dataDxfId="1759" totalsRowDxfId="1758">
      <totalsRowFormula>-DQ7+$AX$7</totalsRowFormula>
    </tableColumn>
    <tableColumn id="122" xr3:uid="{E5850163-DC15-4B15-B656-4CC8D55E6988}" uniqueName="122" name="Column122" totalsRowFunction="custom" queryTableFieldId="122" dataDxfId="1757" totalsRowDxfId="1756">
      <totalsRowFormula>-DR7+$AX$7</totalsRowFormula>
    </tableColumn>
    <tableColumn id="123" xr3:uid="{A1CA6490-E76F-4273-BE30-C51B4A90DB25}" uniqueName="123" name="Column123" totalsRowFunction="custom" queryTableFieldId="123" dataDxfId="1755" totalsRowDxfId="1754">
      <totalsRowFormula>-DS7+$AX$7</totalsRowFormula>
    </tableColumn>
    <tableColumn id="124" xr3:uid="{86DE5321-1A06-404E-A03A-406F41A2BB26}" uniqueName="124" name="Column124" totalsRowFunction="custom" queryTableFieldId="124" dataDxfId="1753" totalsRowDxfId="1752">
      <totalsRowFormula>-DT7+$AX$7</totalsRowFormula>
    </tableColumn>
    <tableColumn id="125" xr3:uid="{F53A978D-8195-4369-89F7-F5B33A85F8F9}" uniqueName="125" name="Column125" totalsRowFunction="custom" queryTableFieldId="125" dataDxfId="1751" totalsRowDxfId="1750">
      <totalsRowFormula>-DU7+$AX$7</totalsRowFormula>
    </tableColumn>
    <tableColumn id="126" xr3:uid="{8678D799-3BB8-45E3-B1B8-D377DFEC55C3}" uniqueName="126" name="Column126" totalsRowFunction="custom" queryTableFieldId="126" dataDxfId="1749" totalsRowDxfId="1748">
      <totalsRowFormula>-DV7+$AX$7</totalsRowFormula>
    </tableColumn>
    <tableColumn id="127" xr3:uid="{1EF7D9F4-7F29-4E23-8A46-9FD3D8783339}" uniqueName="127" name="Column127" totalsRowFunction="custom" queryTableFieldId="127" dataDxfId="1747" totalsRowDxfId="1746">
      <totalsRowFormula>-DW7+$AX$7</totalsRowFormula>
    </tableColumn>
    <tableColumn id="128" xr3:uid="{D7C1CC7A-45E1-413C-A31B-7AC0CDB572D9}" uniqueName="128" name="Column128" totalsRowFunction="custom" queryTableFieldId="128" dataDxfId="1745" totalsRowDxfId="1744">
      <totalsRowFormula>-DX7+$AX$7</totalsRowFormula>
    </tableColumn>
    <tableColumn id="129" xr3:uid="{F5A1B59A-39B8-47BA-8039-B0A8B0A3F89E}" uniqueName="129" name="Column129" totalsRowFunction="custom" queryTableFieldId="129" dataDxfId="1743" totalsRowDxfId="1742">
      <totalsRowFormula>-DY7+$AX$7</totalsRowFormula>
    </tableColumn>
    <tableColumn id="130" xr3:uid="{F921B47C-9755-42D4-8934-4BC5753B163E}" uniqueName="130" name="Column130" totalsRowFunction="custom" queryTableFieldId="130" dataDxfId="1741" totalsRowDxfId="1740">
      <totalsRowFormula>-DZ7+$AX$7</totalsRowFormula>
    </tableColumn>
    <tableColumn id="131" xr3:uid="{24C793AC-A00B-4374-AE04-5933AAB1E00B}" uniqueName="131" name="Column131" totalsRowFunction="custom" queryTableFieldId="131" dataDxfId="1739" totalsRowDxfId="1738">
      <totalsRowFormula>-EA7+$AX$7</totalsRowFormula>
    </tableColumn>
    <tableColumn id="132" xr3:uid="{B3AE291B-F052-4CDA-8CA4-5EC73CEC31F3}" uniqueName="132" name="Column132" totalsRowFunction="custom" queryTableFieldId="132" dataDxfId="1737" totalsRowDxfId="1736">
      <totalsRowFormula>-EB7+$AX$7</totalsRowFormula>
    </tableColumn>
    <tableColumn id="133" xr3:uid="{5FFFA422-C8E8-414A-8D74-64598E40DB8D}" uniqueName="133" name="Column133" totalsRowFunction="custom" queryTableFieldId="133" dataDxfId="1735" totalsRowDxfId="1734">
      <totalsRowFormula>-EC7+$AX$7</totalsRowFormula>
    </tableColumn>
    <tableColumn id="134" xr3:uid="{B1CF825D-B30D-42A4-95F2-C2DD2AEBA6A6}" uniqueName="134" name="Column134" totalsRowFunction="custom" queryTableFieldId="134" dataDxfId="1733" totalsRowDxfId="1732">
      <totalsRowFormula>-ED7+$AX$7</totalsRowFormula>
    </tableColumn>
    <tableColumn id="135" xr3:uid="{AE58DE4C-A41E-4DF5-8223-B6759771CDB6}" uniqueName="135" name="Column135" totalsRowFunction="custom" queryTableFieldId="135" dataDxfId="1731" totalsRowDxfId="1730">
      <totalsRowFormula>-EE7+$AX$7</totalsRowFormula>
    </tableColumn>
    <tableColumn id="136" xr3:uid="{C5497EA5-AAB2-439E-9EEA-0DDCE86681FA}" uniqueName="136" name="Column136" totalsRowFunction="custom" queryTableFieldId="136" dataDxfId="1729" totalsRowDxfId="1728">
      <totalsRowFormula>-EF7+$AX$7</totalsRowFormula>
    </tableColumn>
    <tableColumn id="137" xr3:uid="{667C62BE-6636-4346-9E57-5FECE626AD39}" uniqueName="137" name="Column137" totalsRowFunction="custom" queryTableFieldId="137" dataDxfId="1727" totalsRowDxfId="1726">
      <totalsRowFormula>-EG7+$AX$7</totalsRowFormula>
    </tableColumn>
    <tableColumn id="138" xr3:uid="{A4D20D36-F868-4F84-81E2-BB591EB9D313}" uniqueName="138" name="Column138" totalsRowFunction="custom" queryTableFieldId="138" dataDxfId="1725" totalsRowDxfId="1724">
      <totalsRowFormula>-EH7+$AX$7</totalsRowFormula>
    </tableColumn>
    <tableColumn id="139" xr3:uid="{2586D8F6-7D18-4143-8261-F24E50BF7EB9}" uniqueName="139" name="Column139" totalsRowFunction="custom" queryTableFieldId="139" dataDxfId="1723" totalsRowDxfId="1722">
      <totalsRowFormula>-EI7+$AX$7</totalsRowFormula>
    </tableColumn>
    <tableColumn id="140" xr3:uid="{9199EB3D-A01D-41B9-BD6C-C4AC135396D4}" uniqueName="140" name="Column140" totalsRowFunction="custom" queryTableFieldId="140" dataDxfId="1721" totalsRowDxfId="1720">
      <totalsRowFormula>-EJ7+$AX$7</totalsRowFormula>
    </tableColumn>
    <tableColumn id="141" xr3:uid="{CE5D214D-40AD-42C6-915A-CA0AFB23DEA3}" uniqueName="141" name="Column141" totalsRowFunction="custom" queryTableFieldId="141" dataDxfId="1719" totalsRowDxfId="1718">
      <totalsRowFormula>-EK7+$AX$7</totalsRowFormula>
    </tableColumn>
    <tableColumn id="142" xr3:uid="{06D9C93E-BC8C-43E0-B342-5C5BADBEB663}" uniqueName="142" name="Column142" totalsRowFunction="custom" queryTableFieldId="142" dataDxfId="1717" totalsRowDxfId="1716">
      <totalsRowFormula>-EL7+$AX$7</totalsRowFormula>
    </tableColumn>
    <tableColumn id="143" xr3:uid="{E8E33894-D743-4E4E-B4D9-F438F02F47A3}" uniqueName="143" name="Column143" totalsRowFunction="custom" queryTableFieldId="143" dataDxfId="1715" totalsRowDxfId="1714">
      <totalsRowFormula>-EM7+$AX$7</totalsRowFormula>
    </tableColumn>
    <tableColumn id="144" xr3:uid="{E498223C-BAC1-48E4-886B-357030776C97}" uniqueName="144" name="Column144" totalsRowFunction="custom" queryTableFieldId="144" dataDxfId="1713" totalsRowDxfId="1712">
      <totalsRowFormula>-EN7+$AX$7</totalsRowFormula>
    </tableColumn>
    <tableColumn id="145" xr3:uid="{53886324-181A-4A2B-BA93-472BA4133AE2}" uniqueName="145" name="Column145" totalsRowFunction="custom" queryTableFieldId="145" dataDxfId="1711" totalsRowDxfId="1710">
      <totalsRowFormula>-EO7+$AX$7</totalsRowFormula>
    </tableColumn>
    <tableColumn id="146" xr3:uid="{BA76B2AA-8D55-4FC8-B873-BC4E62150F96}" uniqueName="146" name="Column146" totalsRowFunction="custom" queryTableFieldId="146" dataDxfId="1709" totalsRowDxfId="1708">
      <totalsRowFormula>-EP7+$AX$7</totalsRowFormula>
    </tableColumn>
    <tableColumn id="147" xr3:uid="{44D26B0C-EC8A-4B97-8F49-ADEFA383568A}" uniqueName="147" name="Column147" totalsRowFunction="custom" queryTableFieldId="147" dataDxfId="1707" totalsRowDxfId="1706">
      <totalsRowFormula>-EQ7+$AX$7</totalsRowFormula>
    </tableColumn>
    <tableColumn id="148" xr3:uid="{3A2DF5AE-AC92-4A8A-9689-3E534200639B}" uniqueName="148" name="Column148" totalsRowFunction="custom" queryTableFieldId="148" dataDxfId="1705" totalsRowDxfId="1704">
      <totalsRowFormula>-ER7+$AX$7</totalsRowFormula>
    </tableColumn>
    <tableColumn id="149" xr3:uid="{74C057CF-F788-40F5-B698-710271B8F773}" uniqueName="149" name="Column149" totalsRowFunction="custom" queryTableFieldId="149" dataDxfId="1703" totalsRowDxfId="1702">
      <totalsRowFormula>-ES7+$AX$7</totalsRowFormula>
    </tableColumn>
    <tableColumn id="150" xr3:uid="{102BBC6F-8DF9-4A83-827C-EA1D929077B7}" uniqueName="150" name="Column150" totalsRowFunction="custom" queryTableFieldId="150" dataDxfId="1701" totalsRowDxfId="1700">
      <totalsRowFormula>-ET7+$AX$7</totalsRowFormula>
    </tableColumn>
    <tableColumn id="151" xr3:uid="{BACB2025-5033-41CD-8547-6FA9ECD89F49}" uniqueName="151" name="Column151" totalsRowFunction="custom" queryTableFieldId="151" dataDxfId="1699" totalsRowDxfId="1698">
      <totalsRowFormula>-EU7+$AX$7</totalsRowFormula>
    </tableColumn>
    <tableColumn id="152" xr3:uid="{8EE110F4-DD0B-4340-A524-23EA9B0E8CD9}" uniqueName="152" name="Column152" totalsRowFunction="custom" queryTableFieldId="152" dataDxfId="1697" totalsRowDxfId="1696">
      <totalsRowFormula>-EV7+$AX$7</totalsRowFormula>
    </tableColumn>
    <tableColumn id="153" xr3:uid="{93E8F545-2574-491A-81B3-51B915410F9C}" uniqueName="153" name="Column153" totalsRowFunction="custom" queryTableFieldId="153" dataDxfId="1695" totalsRowDxfId="1694">
      <totalsRowFormula>-EW7+$AX$7</totalsRowFormula>
    </tableColumn>
    <tableColumn id="154" xr3:uid="{4734277A-3BFB-4346-8AF8-AE0BF840F514}" uniqueName="154" name="Column154" totalsRowFunction="custom" queryTableFieldId="154" dataDxfId="1693" totalsRowDxfId="1692">
      <totalsRowFormula>-EX7+$AX$7</totalsRowFormula>
    </tableColumn>
    <tableColumn id="155" xr3:uid="{C19DE5F9-A369-45A9-A992-F52133B89406}" uniqueName="155" name="Column155" totalsRowFunction="custom" queryTableFieldId="155" dataDxfId="1691" totalsRowDxfId="1690">
      <totalsRowFormula>-EY7+$AX$7</totalsRowFormula>
    </tableColumn>
    <tableColumn id="156" xr3:uid="{24B0EB5D-A890-4489-BDFF-082747090D3A}" uniqueName="156" name="Column156" totalsRowFunction="custom" queryTableFieldId="156" dataDxfId="1689" totalsRowDxfId="1688">
      <totalsRowFormula>-EZ7+$AX$7</totalsRowFormula>
    </tableColumn>
    <tableColumn id="157" xr3:uid="{79FD715B-DBCC-470C-A85D-2D9F4F40236B}" uniqueName="157" name="Column157" totalsRowFunction="custom" queryTableFieldId="157" dataDxfId="1687" totalsRowDxfId="1686">
      <totalsRowFormula>-FA7+$AX$7</totalsRowFormula>
    </tableColumn>
    <tableColumn id="158" xr3:uid="{C3F191F1-E5FA-44FA-A0DD-38418A274D79}" uniqueName="158" name="Column158" totalsRowFunction="custom" queryTableFieldId="158" dataDxfId="1685" totalsRowDxfId="1684">
      <totalsRowFormula>-FB7+$AX$7</totalsRowFormula>
    </tableColumn>
    <tableColumn id="159" xr3:uid="{CEFCEFC4-1BDC-40E8-AAD5-ECF28650D506}" uniqueName="159" name="Column159" totalsRowFunction="custom" queryTableFieldId="159" dataDxfId="1683" totalsRowDxfId="1682">
      <totalsRowFormula>-FC7+$AX$7</totalsRowFormula>
    </tableColumn>
    <tableColumn id="160" xr3:uid="{57D00782-249C-4CED-9AF3-FD16827660CD}" uniqueName="160" name="Column160" totalsRowFunction="custom" queryTableFieldId="160" dataDxfId="1681" totalsRowDxfId="1680">
      <totalsRowFormula>-FD7+$AX$7</totalsRowFormula>
    </tableColumn>
    <tableColumn id="161" xr3:uid="{6140FCE5-5843-40C5-9FF2-4F5A95A82145}" uniqueName="161" name="Column161" totalsRowFunction="custom" queryTableFieldId="161" dataDxfId="1679" totalsRowDxfId="1678">
      <totalsRowFormula>-FE7+$AX$7</totalsRowFormula>
    </tableColumn>
    <tableColumn id="162" xr3:uid="{8E8AC8D3-95AE-47FA-8090-D269288A3BCE}" uniqueName="162" name="Column162" totalsRowFunction="custom" queryTableFieldId="162" dataDxfId="1677" totalsRowDxfId="1676">
      <totalsRowFormula>-FF7+$AX$7</totalsRowFormula>
    </tableColumn>
    <tableColumn id="163" xr3:uid="{3CB3416F-3FB2-4E1D-80CF-9FBDFEE5E44F}" uniqueName="163" name="Column163" totalsRowFunction="custom" queryTableFieldId="163" dataDxfId="1675" totalsRowDxfId="1674">
      <totalsRowFormula>-FG7+$AX$7</totalsRowFormula>
    </tableColumn>
    <tableColumn id="164" xr3:uid="{D1D4BA2E-9658-4B60-9DA8-7DD3AF2E1881}" uniqueName="164" name="Column164" totalsRowFunction="custom" queryTableFieldId="164" dataDxfId="1673" totalsRowDxfId="1672">
      <totalsRowFormula>-FH7+$AX$7</totalsRowFormula>
    </tableColumn>
    <tableColumn id="165" xr3:uid="{5EBE5F95-BE7C-462C-95D4-D5800DBA9372}" uniqueName="165" name="Column165" totalsRowFunction="custom" queryTableFieldId="165" dataDxfId="1671" totalsRowDxfId="1670">
      <totalsRowFormula>-FI7+$AX$7</totalsRowFormula>
    </tableColumn>
    <tableColumn id="166" xr3:uid="{80D479B6-3334-4987-9CFD-72EE2AAC09FB}" uniqueName="166" name="Column166" totalsRowFunction="custom" queryTableFieldId="166" dataDxfId="1669" totalsRowDxfId="1668">
      <totalsRowFormula>-FJ7+$AX$7</totalsRowFormula>
    </tableColumn>
    <tableColumn id="167" xr3:uid="{97F3A0BD-741B-49A7-A2ED-BFBFE36B61C5}" uniqueName="167" name="Column167" totalsRowFunction="custom" queryTableFieldId="167" dataDxfId="1667" totalsRowDxfId="1666">
      <totalsRowFormula>-FK7+$AX$7</totalsRowFormula>
    </tableColumn>
    <tableColumn id="168" xr3:uid="{215168D0-7557-40AB-BEA0-8D57344323B6}" uniqueName="168" name="Column168" totalsRowFunction="custom" queryTableFieldId="168" dataDxfId="1665" totalsRowDxfId="1664">
      <totalsRowFormula>-FL7+$AX$7</totalsRowFormula>
    </tableColumn>
    <tableColumn id="169" xr3:uid="{196C5A2B-F78E-4282-A1E8-98ABB27C178C}" uniqueName="169" name="Column169" totalsRowFunction="custom" queryTableFieldId="169" dataDxfId="1663" totalsRowDxfId="1662">
      <totalsRowFormula>-FM7+$AX$7</totalsRowFormula>
    </tableColumn>
    <tableColumn id="170" xr3:uid="{7347172D-1C2A-4216-ADB4-CD3ABB0C506D}" uniqueName="170" name="Column170" totalsRowFunction="custom" queryTableFieldId="170" dataDxfId="1661" totalsRowDxfId="1660">
      <totalsRowFormula>-FN7+$AX$7</totalsRowFormula>
    </tableColumn>
    <tableColumn id="171" xr3:uid="{35AEE89C-F29A-4975-A2E5-EBA2DC823F81}" uniqueName="171" name="Column171" totalsRowFunction="custom" queryTableFieldId="171" dataDxfId="1659" totalsRowDxfId="1658">
      <totalsRowFormula>-FO7+$AX$7</totalsRowFormula>
    </tableColumn>
    <tableColumn id="172" xr3:uid="{E515C2FC-FF92-4943-AC66-9DA0665F3EC9}" uniqueName="172" name="Column172" totalsRowFunction="custom" queryTableFieldId="172" dataDxfId="1657" totalsRowDxfId="1656">
      <totalsRowFormula>-FP7+$AX$7</totalsRowFormula>
    </tableColumn>
    <tableColumn id="173" xr3:uid="{41AF22D9-8BA2-44CC-BBE6-8D1E0C249026}" uniqueName="173" name="Column173" totalsRowFunction="custom" queryTableFieldId="173" dataDxfId="1655" totalsRowDxfId="1654">
      <totalsRowFormula>-FQ7+$AX$7</totalsRowFormula>
    </tableColumn>
    <tableColumn id="174" xr3:uid="{6CB59FB7-D4B1-4E0C-9DD4-26E8EDFFA87B}" uniqueName="174" name="Column174" totalsRowFunction="custom" queryTableFieldId="174" dataDxfId="1653" totalsRowDxfId="1652">
      <totalsRowFormula>-FR7+$AX$7</totalsRowFormula>
    </tableColumn>
    <tableColumn id="175" xr3:uid="{98BCE139-5552-4D3B-A3AC-B3C23724AD08}" uniqueName="175" name="Column175" totalsRowFunction="custom" queryTableFieldId="175" dataDxfId="1651" totalsRowDxfId="1650">
      <totalsRowFormula>-FS7+$AX$7</totalsRowFormula>
    </tableColumn>
    <tableColumn id="176" xr3:uid="{9659FEBD-FD01-4FC4-950B-7064CC771919}" uniqueName="176" name="Column176" totalsRowFunction="custom" queryTableFieldId="176" dataDxfId="1649" totalsRowDxfId="1648">
      <totalsRowFormula>-FT7+$AX$7</totalsRowFormula>
    </tableColumn>
    <tableColumn id="177" xr3:uid="{E31480F7-1E9F-4C93-9DB7-4660BAB7B07A}" uniqueName="177" name="Column177" totalsRowFunction="custom" queryTableFieldId="177" dataDxfId="1647" totalsRowDxfId="1646">
      <totalsRowFormula>-FU7+$AX$7</totalsRowFormula>
    </tableColumn>
    <tableColumn id="178" xr3:uid="{2B68D965-1D22-457B-BB2D-32E74C6B5B30}" uniqueName="178" name="Column178" totalsRowFunction="custom" queryTableFieldId="178" dataDxfId="1645" totalsRowDxfId="1644">
      <totalsRowFormula>-FV7+$AX$7</totalsRowFormula>
    </tableColumn>
    <tableColumn id="179" xr3:uid="{B11239A6-82B5-4532-AB0F-A22F2238E74D}" uniqueName="179" name="Column179" totalsRowFunction="custom" queryTableFieldId="179" dataDxfId="1643" totalsRowDxfId="1642">
      <totalsRowFormula>-FW7+$AX$7</totalsRowFormula>
    </tableColumn>
    <tableColumn id="180" xr3:uid="{39F85505-771C-4258-8EC0-35A6DD2948EA}" uniqueName="180" name="Column180" totalsRowFunction="custom" queryTableFieldId="180" dataDxfId="1641" totalsRowDxfId="1640">
      <totalsRowFormula>-FX7+$AX$7</totalsRowFormula>
    </tableColumn>
    <tableColumn id="181" xr3:uid="{F0620310-E369-4793-A467-A65CF498BBB6}" uniqueName="181" name="Column181" totalsRowFunction="custom" queryTableFieldId="181" dataDxfId="1639" totalsRowDxfId="1638">
      <totalsRowFormula>-FY7+$AX$7</totalsRowFormula>
    </tableColumn>
    <tableColumn id="182" xr3:uid="{6D5580E5-A498-4A84-9CD3-8272211992B1}" uniqueName="182" name="Column182" totalsRowFunction="custom" queryTableFieldId="182" dataDxfId="1637" totalsRowDxfId="1636">
      <totalsRowFormula>-FZ7+$AX$7</totalsRowFormula>
    </tableColumn>
    <tableColumn id="183" xr3:uid="{2DAD20B6-5BCA-41CF-97FF-70F54635CB38}" uniqueName="183" name="Column183" totalsRowFunction="custom" queryTableFieldId="183" dataDxfId="1635" totalsRowDxfId="1634">
      <totalsRowFormula>-GA7+$AX$7</totalsRowFormula>
    </tableColumn>
    <tableColumn id="184" xr3:uid="{6F8C54F5-59A3-4B31-BCDA-1B9C7AFE46B5}" uniqueName="184" name="Column184" totalsRowFunction="custom" queryTableFieldId="184" dataDxfId="1633" totalsRowDxfId="1632">
      <totalsRowFormula>-GB7+$AX$7</totalsRowFormula>
    </tableColumn>
    <tableColumn id="185" xr3:uid="{37D0F663-05BB-4B8C-9880-C95C524690B1}" uniqueName="185" name="Column185" totalsRowFunction="custom" queryTableFieldId="185" dataDxfId="1631" totalsRowDxfId="1630">
      <totalsRowFormula>-GC7+$AX$7</totalsRowFormula>
    </tableColumn>
    <tableColumn id="186" xr3:uid="{C62D9381-5C37-4DB5-A715-A9281DA006C9}" uniqueName="186" name="Column186" totalsRowFunction="custom" queryTableFieldId="186" dataDxfId="1629" totalsRowDxfId="1628">
      <totalsRowFormula>-GD7+$AX$7</totalsRowFormula>
    </tableColumn>
    <tableColumn id="187" xr3:uid="{A0883F56-C055-4E5E-A471-B274F3783D00}" uniqueName="187" name="Column187" totalsRowFunction="custom" queryTableFieldId="187" dataDxfId="1627" totalsRowDxfId="1626">
      <totalsRowFormula>-GE7+$AX$7</totalsRowFormula>
    </tableColumn>
    <tableColumn id="188" xr3:uid="{87EE9E9E-BEEA-4F3C-9F3A-E4B1CB552AB6}" uniqueName="188" name="Column188" totalsRowFunction="custom" queryTableFieldId="188" dataDxfId="1625" totalsRowDxfId="1624">
      <totalsRowFormula>-GF7+$AX$7</totalsRowFormula>
    </tableColumn>
    <tableColumn id="189" xr3:uid="{AD768B14-F7CB-42A9-B52F-2DA1F99EF306}" uniqueName="189" name="Column189" totalsRowFunction="custom" queryTableFieldId="189" dataDxfId="1623" totalsRowDxfId="1622">
      <totalsRowFormula>-GG7+$AX$7</totalsRowFormula>
    </tableColumn>
    <tableColumn id="190" xr3:uid="{9D5845B6-3E25-4F31-85E8-A62DE20FCDED}" uniqueName="190" name="Column190" totalsRowFunction="custom" queryTableFieldId="190" dataDxfId="1621" totalsRowDxfId="1620">
      <totalsRowFormula>-GH7+$AX$7</totalsRowFormula>
    </tableColumn>
    <tableColumn id="191" xr3:uid="{FBAAC701-6D66-48EA-B5CC-49704DE1F601}" uniqueName="191" name="Column191" totalsRowFunction="custom" queryTableFieldId="191" dataDxfId="1619" totalsRowDxfId="1618">
      <totalsRowFormula>-GI7+$AX$7</totalsRowFormula>
    </tableColumn>
    <tableColumn id="192" xr3:uid="{A262AA84-9ADB-4273-A9BA-85EA60880A7A}" uniqueName="192" name="Column192" totalsRowFunction="custom" queryTableFieldId="192" dataDxfId="1617" totalsRowDxfId="1616">
      <totalsRowFormula>-GJ7+$AX$7</totalsRowFormula>
    </tableColumn>
    <tableColumn id="193" xr3:uid="{C6E3E85F-19B5-41BD-939F-CFC1A2AECED6}" uniqueName="193" name="Column193" totalsRowFunction="custom" queryTableFieldId="193" dataDxfId="1615" totalsRowDxfId="1614">
      <totalsRowFormula>-GK7+$AX$7</totalsRowFormula>
    </tableColumn>
    <tableColumn id="194" xr3:uid="{7A7B3C87-AB57-438B-BB99-DE39FBD2B82A}" uniqueName="194" name="Column194" totalsRowFunction="custom" queryTableFieldId="194" dataDxfId="1613" totalsRowDxfId="1612">
      <totalsRowFormula>-GL7+$AX$7</totalsRowFormula>
    </tableColumn>
    <tableColumn id="195" xr3:uid="{16FEAAEA-1C00-4367-B9C5-3C8460EA0AC5}" uniqueName="195" name="Column195" totalsRowFunction="custom" queryTableFieldId="195" dataDxfId="1611" totalsRowDxfId="1610">
      <totalsRowFormula>-GM7+$AX$7</totalsRowFormula>
    </tableColumn>
    <tableColumn id="196" xr3:uid="{4CD49C0B-5248-462A-9CD3-7385067B383A}" uniqueName="196" name="Column196" totalsRowFunction="custom" queryTableFieldId="196" dataDxfId="1609" totalsRowDxfId="1608">
      <totalsRowFormula>-GN7+$AX$7</totalsRowFormula>
    </tableColumn>
    <tableColumn id="197" xr3:uid="{145C4B42-7073-47D1-9649-ACC644C37230}" uniqueName="197" name="Column197" totalsRowFunction="custom" queryTableFieldId="197" dataDxfId="1607" totalsRowDxfId="1606">
      <totalsRowFormula>-GO7+$AX$7</totalsRowFormula>
    </tableColumn>
    <tableColumn id="198" xr3:uid="{A77D48B9-5E7D-4C47-A82C-511BFEF508B5}" uniqueName="198" name="Column198" totalsRowFunction="custom" queryTableFieldId="198" dataDxfId="1605" totalsRowDxfId="1604">
      <totalsRowFormula>-GP7+$AX$7</totalsRowFormula>
    </tableColumn>
    <tableColumn id="199" xr3:uid="{2028BE3A-687F-4DF5-A0EB-34D8A2DFC4A6}" uniqueName="199" name="Column199" totalsRowFunction="custom" queryTableFieldId="199" dataDxfId="1603" totalsRowDxfId="1602">
      <totalsRowFormula>-GQ7+$AX$7</totalsRowFormula>
    </tableColumn>
    <tableColumn id="200" xr3:uid="{F2FD4F79-7687-4467-95C6-FF43BC9FE805}" uniqueName="200" name="Column200" totalsRowFunction="custom" queryTableFieldId="200" dataDxfId="1601" totalsRowDxfId="1600">
      <totalsRowFormula>-GR7+$AX$7</totalsRowFormula>
    </tableColumn>
    <tableColumn id="201" xr3:uid="{34878D26-C838-4820-90FB-C8E14C163AF4}" uniqueName="201" name="Column201" totalsRowFunction="custom" queryTableFieldId="201" dataDxfId="1599" totalsRowDxfId="1598">
      <totalsRowFormula>-GS7+$AX$7</totalsRowFormula>
    </tableColumn>
    <tableColumn id="202" xr3:uid="{C57DFE2F-2B53-4E97-8A69-47D6CC85FD48}" uniqueName="202" name="Column202" totalsRowFunction="custom" queryTableFieldId="202" dataDxfId="1597" totalsRowDxfId="1596">
      <totalsRowFormula>-GT7+$AX$7</totalsRowFormula>
    </tableColumn>
    <tableColumn id="203" xr3:uid="{E5188563-97B2-4A41-BF76-DCD83AFE80CF}" uniqueName="203" name="Column203" totalsRowFunction="custom" queryTableFieldId="203" dataDxfId="1595" totalsRowDxfId="1594">
      <totalsRowFormula>-GU7+$AX$7</totalsRowFormula>
    </tableColumn>
    <tableColumn id="204" xr3:uid="{4D95E1B2-4015-4831-BC68-49C54445265E}" uniqueName="204" name="Column204" totalsRowFunction="custom" queryTableFieldId="204" dataDxfId="1593" totalsRowDxfId="1592">
      <totalsRowFormula>-GV7+$AX$7</totalsRowFormula>
    </tableColumn>
    <tableColumn id="205" xr3:uid="{D97FE402-3645-4CAD-A614-BE188BF52E77}" uniqueName="205" name="Column205" totalsRowFunction="custom" queryTableFieldId="205" dataDxfId="1591" totalsRowDxfId="1590">
      <totalsRowFormula>-GW7+$AX$7</totalsRowFormula>
    </tableColumn>
    <tableColumn id="206" xr3:uid="{E51F51B7-44D5-4100-A98E-64962C927A31}" uniqueName="206" name="Column206" totalsRowFunction="custom" queryTableFieldId="206" dataDxfId="1589" totalsRowDxfId="1588">
      <totalsRowFormula>-GX7+$AX$7</totalsRowFormula>
    </tableColumn>
    <tableColumn id="207" xr3:uid="{01A0C307-A893-44A6-9232-0BD189C4FCAA}" uniqueName="207" name="Column207" totalsRowFunction="custom" queryTableFieldId="207" dataDxfId="1587" totalsRowDxfId="1586">
      <totalsRowFormula>-GY7+$AX$7</totalsRowFormula>
    </tableColumn>
    <tableColumn id="208" xr3:uid="{89DADC83-C755-4680-B8B3-471DA57EA918}" uniqueName="208" name="Column208" totalsRowFunction="custom" queryTableFieldId="208" dataDxfId="1585" totalsRowDxfId="1584">
      <totalsRowFormula>-GZ7+$AX$7</totalsRowFormula>
    </tableColumn>
    <tableColumn id="209" xr3:uid="{6BC36A3A-D591-48B3-820E-33E32CFE6605}" uniqueName="209" name="Column209" totalsRowFunction="custom" queryTableFieldId="209" dataDxfId="1583" totalsRowDxfId="1582">
      <totalsRowFormula>-HA7+$AX$7</totalsRowFormula>
    </tableColumn>
    <tableColumn id="210" xr3:uid="{3A5EC841-E5A3-46C5-9203-34EE4ABF9406}" uniqueName="210" name="Column210" totalsRowFunction="custom" queryTableFieldId="210" dataDxfId="1581" totalsRowDxfId="1580">
      <totalsRowFormula>-HB7+$AX$7</totalsRowFormula>
    </tableColumn>
    <tableColumn id="211" xr3:uid="{049921A1-971C-4572-8B33-0571AB266C89}" uniqueName="211" name="Column211" totalsRowFunction="custom" queryTableFieldId="211" dataDxfId="1579" totalsRowDxfId="1578">
      <totalsRowFormula>-HC7+$AX$7</totalsRowFormula>
    </tableColumn>
    <tableColumn id="212" xr3:uid="{4C0D7609-81D4-44F3-BB93-D1775FC1AAE0}" uniqueName="212" name="Column212" totalsRowFunction="custom" queryTableFieldId="212" dataDxfId="1577" totalsRowDxfId="1576">
      <totalsRowFormula>-HD7+$AX$7</totalsRowFormula>
    </tableColumn>
    <tableColumn id="213" xr3:uid="{206EBD50-2ABA-4E8F-AB4B-283CC8FD66A2}" uniqueName="213" name="Column213" totalsRowFunction="custom" queryTableFieldId="213" dataDxfId="1575" totalsRowDxfId="1574">
      <totalsRowFormula>-HE7+$AX$7</totalsRowFormula>
    </tableColumn>
    <tableColumn id="214" xr3:uid="{2C7F9E0B-554C-4E65-8644-8970C21392A2}" uniqueName="214" name="Column214" totalsRowFunction="custom" queryTableFieldId="214" dataDxfId="1573" totalsRowDxfId="1572">
      <totalsRowFormula>-HF7+$AX$7</totalsRowFormula>
    </tableColumn>
    <tableColumn id="215" xr3:uid="{88F132B4-E3D0-45CE-9CF4-5F35A7E14C73}" uniqueName="215" name="Column215" totalsRowFunction="custom" queryTableFieldId="215" dataDxfId="1571" totalsRowDxfId="1570">
      <totalsRowFormula>-HG7+$AX$7</totalsRowFormula>
    </tableColumn>
    <tableColumn id="216" xr3:uid="{D7C466EC-EC66-48EF-9388-18970C83A3B6}" uniqueName="216" name="Column216" totalsRowFunction="custom" queryTableFieldId="216" dataDxfId="1569" totalsRowDxfId="1568">
      <totalsRowFormula>-HH7+$AX$7</totalsRowFormula>
    </tableColumn>
    <tableColumn id="217" xr3:uid="{D36474F4-0B93-4AF6-B049-3A501B224BC5}" uniqueName="217" name="Column217" totalsRowFunction="custom" queryTableFieldId="217" dataDxfId="1567" totalsRowDxfId="1566">
      <totalsRowFormula>-HI7+$AX$7</totalsRowFormula>
    </tableColumn>
    <tableColumn id="218" xr3:uid="{0485E0B8-4F97-426B-9EFA-FD982EBA9C3B}" uniqueName="218" name="Column218" totalsRowFunction="custom" queryTableFieldId="218" dataDxfId="1565" totalsRowDxfId="1564">
      <totalsRowFormula>-HJ7+$AX$7</totalsRowFormula>
    </tableColumn>
    <tableColumn id="219" xr3:uid="{04B51400-517D-485C-87EE-11130210BCE1}" uniqueName="219" name="Column219" totalsRowFunction="custom" queryTableFieldId="219" dataDxfId="1563" totalsRowDxfId="1562">
      <totalsRowFormula>-HK7+$AX$7</totalsRowFormula>
    </tableColumn>
    <tableColumn id="220" xr3:uid="{CA70F311-33D1-4C07-A66C-171B4DBA32F0}" uniqueName="220" name="Column220" totalsRowFunction="custom" queryTableFieldId="220" dataDxfId="1561" totalsRowDxfId="1560">
      <totalsRowFormula>-HL7+$AX$7</totalsRowFormula>
    </tableColumn>
    <tableColumn id="221" xr3:uid="{EF0DEA7B-61B4-4A67-9212-A8A0D6651842}" uniqueName="221" name="Column221" totalsRowFunction="custom" queryTableFieldId="221" dataDxfId="1559" totalsRowDxfId="1558">
      <totalsRowFormula>-HM7+$AX$7</totalsRowFormula>
    </tableColumn>
    <tableColumn id="222" xr3:uid="{1B2497AA-2642-4D67-BBA1-6EB78AB366D0}" uniqueName="222" name="Column222" totalsRowFunction="custom" queryTableFieldId="222" dataDxfId="1557" totalsRowDxfId="1556">
      <totalsRowFormula>-HN7+$AX$7</totalsRowFormula>
    </tableColumn>
    <tableColumn id="223" xr3:uid="{EBCF637B-A3B8-44F3-9A4B-2782C88EB45F}" uniqueName="223" name="Column223" totalsRowFunction="custom" queryTableFieldId="223" dataDxfId="1555" totalsRowDxfId="1554">
      <totalsRowFormula>-HO7+$AX$7</totalsRowFormula>
    </tableColumn>
    <tableColumn id="224" xr3:uid="{0FB74250-30C5-4665-B46A-834D25FEF87F}" uniqueName="224" name="Column224" totalsRowFunction="custom" queryTableFieldId="224" dataDxfId="1553" totalsRowDxfId="1552">
      <totalsRowFormula>-HP7+$AX$7</totalsRowFormula>
    </tableColumn>
    <tableColumn id="225" xr3:uid="{C46955EA-A031-4539-A7E6-4FB0D87842C9}" uniqueName="225" name="Column225" totalsRowFunction="custom" queryTableFieldId="225" dataDxfId="1551" totalsRowDxfId="1550">
      <totalsRowFormula>-HQ7+$AX$7</totalsRowFormula>
    </tableColumn>
    <tableColumn id="226" xr3:uid="{7C35A3AE-85AC-4270-800C-8F27A7090910}" uniqueName="226" name="Column226" totalsRowFunction="custom" queryTableFieldId="226" dataDxfId="1549" totalsRowDxfId="1548">
      <totalsRowFormula>-HR7+$AX$7</totalsRowFormula>
    </tableColumn>
    <tableColumn id="227" xr3:uid="{0DD8153A-AEB6-4927-B82C-7348D16249DE}" uniqueName="227" name="Column227" totalsRowFunction="custom" queryTableFieldId="227" dataDxfId="1547" totalsRowDxfId="1546">
      <totalsRowFormula>-HS7+$AX$7</totalsRowFormula>
    </tableColumn>
    <tableColumn id="228" xr3:uid="{5F5C4FDE-C947-45AA-87B5-7334B74CF8D7}" uniqueName="228" name="Column228" totalsRowFunction="custom" queryTableFieldId="228" dataDxfId="1545" totalsRowDxfId="1544">
      <totalsRowFormula>-HT7+$AX$7</totalsRowFormula>
    </tableColumn>
    <tableColumn id="229" xr3:uid="{4FA7BD1C-BB69-4E31-B7A8-06009421584C}" uniqueName="229" name="Column229" totalsRowFunction="custom" queryTableFieldId="229" dataDxfId="1543" totalsRowDxfId="1542">
      <totalsRowFormula>-HU7+$AX$7</totalsRowFormula>
    </tableColumn>
    <tableColumn id="230" xr3:uid="{D9CC990B-831F-4D82-AA25-CDD25DA9D7DB}" uniqueName="230" name="Column230" totalsRowFunction="custom" queryTableFieldId="230" dataDxfId="1541" totalsRowDxfId="1540">
      <totalsRowFormula>-HV7+$AX$7</totalsRowFormula>
    </tableColumn>
    <tableColumn id="231" xr3:uid="{6B7D6670-B9F0-49CD-90B4-D602F0562D88}" uniqueName="231" name="Column231" totalsRowFunction="custom" queryTableFieldId="231" dataDxfId="1539" totalsRowDxfId="1538">
      <totalsRowFormula>-HW7+$AX$7</totalsRowFormula>
    </tableColumn>
    <tableColumn id="232" xr3:uid="{A4D4174D-2E12-477F-9687-76FB88C56062}" uniqueName="232" name="Column232" totalsRowFunction="custom" queryTableFieldId="232" dataDxfId="1537" totalsRowDxfId="1536">
      <totalsRowFormula>-HX7+$AX$7</totalsRowFormula>
    </tableColumn>
    <tableColumn id="233" xr3:uid="{B51AEBAD-5934-4551-803C-B88072EE5C70}" uniqueName="233" name="Column233" totalsRowFunction="custom" queryTableFieldId="233" dataDxfId="1535" totalsRowDxfId="1534">
      <totalsRowFormula>-HY7+$AX$7</totalsRowFormula>
    </tableColumn>
    <tableColumn id="234" xr3:uid="{693992DD-52FD-4F36-8AF5-BFCD5FB6ACCB}" uniqueName="234" name="Column234" totalsRowFunction="custom" queryTableFieldId="234" dataDxfId="1533" totalsRowDxfId="1532">
      <totalsRowFormula>-HZ7+$AX$7</totalsRowFormula>
    </tableColumn>
    <tableColumn id="235" xr3:uid="{5F1016E7-560D-4783-957F-69675BF778B6}" uniqueName="235" name="Column235" totalsRowFunction="custom" queryTableFieldId="235" dataDxfId="1531" totalsRowDxfId="1530">
      <totalsRowFormula>-IA7+$AX$7</totalsRowFormula>
    </tableColumn>
    <tableColumn id="236" xr3:uid="{F917C367-9363-4A88-A0CD-D09318D11E30}" uniqueName="236" name="Column236" totalsRowFunction="custom" queryTableFieldId="236" dataDxfId="1529" totalsRowDxfId="1528">
      <totalsRowFormula>-IB7+$AX$7</totalsRowFormula>
    </tableColumn>
    <tableColumn id="237" xr3:uid="{5846D599-6BF9-4C74-ADD9-B59B0CA096B8}" uniqueName="237" name="Column237" totalsRowFunction="custom" queryTableFieldId="237" dataDxfId="1527" totalsRowDxfId="1526">
      <totalsRowFormula>-IC7+$AX$7</totalsRowFormula>
    </tableColumn>
    <tableColumn id="238" xr3:uid="{67E80E93-9EAE-406F-A232-66A99667D2B7}" uniqueName="238" name="Column238" totalsRowFunction="custom" queryTableFieldId="238" dataDxfId="1525" totalsRowDxfId="1524">
      <totalsRowFormula>-ID7+$AX$7</totalsRowFormula>
    </tableColumn>
    <tableColumn id="239" xr3:uid="{7A064447-BAC2-47C2-A62D-F997D35622DB}" uniqueName="239" name="Column239" totalsRowFunction="custom" queryTableFieldId="239" dataDxfId="1523" totalsRowDxfId="1522">
      <totalsRowFormula>-IE7+$AX$7</totalsRowFormula>
    </tableColumn>
    <tableColumn id="240" xr3:uid="{819D38ED-D7DF-4F67-8343-F597BBCB1EE3}" uniqueName="240" name="Column240" totalsRowFunction="custom" queryTableFieldId="240" dataDxfId="1521" totalsRowDxfId="1520">
      <totalsRowFormula>-IF7+$AX$7</totalsRowFormula>
    </tableColumn>
    <tableColumn id="241" xr3:uid="{92BD3245-CC6E-4E56-B986-B9D745CA2AB2}" uniqueName="241" name="Column241" totalsRowFunction="custom" queryTableFieldId="241" dataDxfId="1519" totalsRowDxfId="1518">
      <totalsRowFormula>-IG7+$AX$7</totalsRowFormula>
    </tableColumn>
    <tableColumn id="242" xr3:uid="{869C5065-AEF1-42B8-8D99-FF35AA1578F4}" uniqueName="242" name="Column242" totalsRowFunction="custom" queryTableFieldId="242" dataDxfId="1517" totalsRowDxfId="1516">
      <totalsRowFormula>-IH7+$AX$7</totalsRowFormula>
    </tableColumn>
    <tableColumn id="243" xr3:uid="{07486650-4DD5-4131-B0C5-DE2905BCECD7}" uniqueName="243" name="Column243" totalsRowFunction="custom" queryTableFieldId="243" dataDxfId="1515" totalsRowDxfId="1514">
      <totalsRowFormula>-II7+$AX$7</totalsRowFormula>
    </tableColumn>
    <tableColumn id="244" xr3:uid="{4FD02F9B-52A4-4241-BF25-2429FEC06DE7}" uniqueName="244" name="Column244" totalsRowFunction="custom" queryTableFieldId="244" dataDxfId="1513" totalsRowDxfId="1512">
      <totalsRowFormula>-IJ7+$AX$7</totalsRowFormula>
    </tableColumn>
    <tableColumn id="245" xr3:uid="{DD38FFB2-F83E-4059-AFB0-2297F5C18EAB}" uniqueName="245" name="Column245" totalsRowFunction="custom" queryTableFieldId="245" dataDxfId="1511" totalsRowDxfId="1510">
      <totalsRowFormula>-IK7+$AX$7</totalsRowFormula>
    </tableColumn>
    <tableColumn id="246" xr3:uid="{6996B504-D08F-4651-8683-2479182B6311}" uniqueName="246" name="Column246" totalsRowFunction="custom" queryTableFieldId="246" dataDxfId="1509" totalsRowDxfId="1508">
      <totalsRowFormula>-IL7+$AX$7</totalsRowFormula>
    </tableColumn>
    <tableColumn id="247" xr3:uid="{930AB490-69C1-4CC3-B629-3B5E0F405DDE}" uniqueName="247" name="Column247" totalsRowFunction="custom" queryTableFieldId="247" dataDxfId="1507" totalsRowDxfId="1506">
      <totalsRowFormula>-IM7+$AX$7</totalsRowFormula>
    </tableColumn>
    <tableColumn id="248" xr3:uid="{D9A746B9-C1CC-45DB-BE0E-56882FF7011A}" uniqueName="248" name="Column248" totalsRowFunction="custom" queryTableFieldId="248" dataDxfId="1505" totalsRowDxfId="1504">
      <totalsRowFormula>-IN7+$AX$7</totalsRowFormula>
    </tableColumn>
    <tableColumn id="249" xr3:uid="{B31D95AE-3EA8-49EA-B34A-645126F5EFE7}" uniqueName="249" name="Column249" totalsRowFunction="custom" queryTableFieldId="249" dataDxfId="1503" totalsRowDxfId="1502">
      <totalsRowFormula>-IO7+$AX$7</totalsRowFormula>
    </tableColumn>
    <tableColumn id="250" xr3:uid="{9382ADA6-3646-4A5C-9A45-A2C983FD0C21}" uniqueName="250" name="Column250" totalsRowFunction="custom" queryTableFieldId="250" dataDxfId="1501" totalsRowDxfId="1500">
      <totalsRowFormula>-IP7+$AX$7</totalsRowFormula>
    </tableColumn>
    <tableColumn id="251" xr3:uid="{41C3BDEA-C6AB-436F-8892-E55F88373ED3}" uniqueName="251" name="Column251" totalsRowFunction="custom" queryTableFieldId="251" dataDxfId="1499" totalsRowDxfId="1498">
      <totalsRowFormula>-IQ7+$AX$7</totalsRowFormula>
    </tableColumn>
    <tableColumn id="252" xr3:uid="{35F5D9E6-D726-4E8A-B087-3AF289294A91}" uniqueName="252" name="Column252" totalsRowFunction="custom" queryTableFieldId="252" dataDxfId="1497" totalsRowDxfId="1496">
      <totalsRowFormula>-IR7+$AX$7</totalsRowFormula>
    </tableColumn>
    <tableColumn id="253" xr3:uid="{8C3BB1CB-B94B-4534-8C3F-F09D167D2A9F}" uniqueName="253" name="Column253" totalsRowFunction="custom" queryTableFieldId="253" dataDxfId="1495" totalsRowDxfId="1494">
      <totalsRowFormula>-IS7+$AX$7</totalsRowFormula>
    </tableColumn>
    <tableColumn id="254" xr3:uid="{DA66FD6D-9066-4D4F-840D-2B6DFFC733BE}" uniqueName="254" name="Column254" totalsRowFunction="custom" queryTableFieldId="254" dataDxfId="1493" totalsRowDxfId="1492">
      <totalsRowFormula>-IT7+$AX$7</totalsRowFormula>
    </tableColumn>
    <tableColumn id="255" xr3:uid="{D13BA299-5B69-4BB6-916A-1B4872EEF1FB}" uniqueName="255" name="Column255" totalsRowFunction="custom" queryTableFieldId="255" dataDxfId="1491" totalsRowDxfId="1490">
      <totalsRowFormula>-IU7+$AX$7</totalsRowFormula>
    </tableColumn>
    <tableColumn id="256" xr3:uid="{8FD8544A-8CDA-4136-8165-0FA6E106D44D}" uniqueName="256" name="Column256" totalsRowFunction="custom" queryTableFieldId="256" dataDxfId="1489" totalsRowDxfId="1488">
      <totalsRowFormula>-IV7+$AX$7</totalsRowFormula>
    </tableColumn>
    <tableColumn id="257" xr3:uid="{A53C5A27-B901-4B12-A4C4-7ADEF261F411}" uniqueName="257" name="Column257" totalsRowFunction="custom" queryTableFieldId="257" dataDxfId="1487" totalsRowDxfId="1486">
      <totalsRowFormula>-IW7+$AX$7</totalsRowFormula>
    </tableColumn>
    <tableColumn id="258" xr3:uid="{E50CFED3-40D6-443A-8521-4E058EE7DBD1}" uniqueName="258" name="Column258" totalsRowFunction="custom" queryTableFieldId="258" dataDxfId="1485" totalsRowDxfId="1484">
      <totalsRowFormula>-IX7+$AX$7</totalsRowFormula>
    </tableColumn>
    <tableColumn id="259" xr3:uid="{6FC68EBA-3727-416A-B417-B441C23D7F22}" uniqueName="259" name="Column259" totalsRowFunction="custom" queryTableFieldId="259" dataDxfId="1483" totalsRowDxfId="1482">
      <totalsRowFormula>-IY7+$AX$7</totalsRowFormula>
    </tableColumn>
    <tableColumn id="260" xr3:uid="{3F251601-3BA9-4B7E-8B3D-5C5FAB24A7C6}" uniqueName="260" name="Column260" totalsRowFunction="custom" queryTableFieldId="260" dataDxfId="1481" totalsRowDxfId="1480">
      <totalsRowFormula>-IZ7+$AX$7</totalsRowFormula>
    </tableColumn>
    <tableColumn id="261" xr3:uid="{38126B72-04F8-4472-A7E5-F417102D70F7}" uniqueName="261" name="Column261" totalsRowFunction="custom" queryTableFieldId="261" dataDxfId="1479" totalsRowDxfId="1478">
      <totalsRowFormula>-JA7+$AX$7</totalsRowFormula>
    </tableColumn>
    <tableColumn id="262" xr3:uid="{D6B5E4AA-0D89-41B4-A991-79DF5AC6A0F2}" uniqueName="262" name="Column262" totalsRowFunction="custom" queryTableFieldId="262" dataDxfId="1477" totalsRowDxfId="1476">
      <totalsRowFormula>-JB7+$AX$7</totalsRowFormula>
    </tableColumn>
    <tableColumn id="263" xr3:uid="{92377127-4E21-4E56-AF6D-4B2D4DD1E4C5}" uniqueName="263" name="Column263" totalsRowFunction="custom" queryTableFieldId="263" dataDxfId="1475" totalsRowDxfId="1474">
      <totalsRowFormula>-JC7+$AX$7</totalsRowFormula>
    </tableColumn>
    <tableColumn id="264" xr3:uid="{C031685D-8599-4EB8-ABAF-2CAF94EC923E}" uniqueName="264" name="Column264" totalsRowFunction="custom" queryTableFieldId="264" dataDxfId="1473" totalsRowDxfId="1472">
      <totalsRowFormula>-JD7+$AX$7</totalsRowFormula>
    </tableColumn>
    <tableColumn id="265" xr3:uid="{C1B63642-7FE0-4811-933D-3BD50FA42564}" uniqueName="265" name="Column265" totalsRowFunction="custom" queryTableFieldId="265" dataDxfId="1471" totalsRowDxfId="1470">
      <totalsRowFormula>-JE7+$AX$7</totalsRowFormula>
    </tableColumn>
    <tableColumn id="266" xr3:uid="{054BF47C-353D-401F-A36D-C82FCEF3741C}" uniqueName="266" name="Column266" totalsRowFunction="custom" queryTableFieldId="266" dataDxfId="1469" totalsRowDxfId="1468">
      <totalsRowFormula>-JF7+$AX$7</totalsRowFormula>
    </tableColumn>
    <tableColumn id="267" xr3:uid="{98176447-520E-4409-8C5C-7CB620B72059}" uniqueName="267" name="Column267" totalsRowFunction="custom" queryTableFieldId="267" dataDxfId="1467" totalsRowDxfId="1466">
      <totalsRowFormula>-JG7+$AX$7</totalsRowFormula>
    </tableColumn>
    <tableColumn id="268" xr3:uid="{21973AC0-1E0A-4550-8D11-996DB3129891}" uniqueName="268" name="Column268" totalsRowFunction="custom" queryTableFieldId="268" dataDxfId="1465" totalsRowDxfId="1464">
      <totalsRowFormula>-JH7+$AX$7</totalsRowFormula>
    </tableColumn>
    <tableColumn id="269" xr3:uid="{AEBE7D31-6DEE-46B7-8F57-21B2705BE4A4}" uniqueName="269" name="Column269" totalsRowFunction="custom" queryTableFieldId="269" dataDxfId="1463" totalsRowDxfId="1462">
      <totalsRowFormula>-JI7+$AX$7</totalsRowFormula>
    </tableColumn>
    <tableColumn id="270" xr3:uid="{9440AD31-D6FC-4B65-BBA7-BE46014F8241}" uniqueName="270" name="Column270" totalsRowFunction="custom" queryTableFieldId="270" dataDxfId="1461" totalsRowDxfId="1460">
      <totalsRowFormula>-JJ7+$AX$7</totalsRowFormula>
    </tableColumn>
    <tableColumn id="271" xr3:uid="{D685ED64-1B4C-4A66-B19C-AA3ED12E7C83}" uniqueName="271" name="Column271" totalsRowFunction="custom" queryTableFieldId="271" dataDxfId="1459" totalsRowDxfId="1458">
      <totalsRowFormula>-JK7+$AX$7</totalsRowFormula>
    </tableColumn>
    <tableColumn id="272" xr3:uid="{940ED3B2-720C-4557-9EBC-942B7174BB6C}" uniqueName="272" name="Column272" totalsRowFunction="custom" queryTableFieldId="272" dataDxfId="1457" totalsRowDxfId="1456">
      <totalsRowFormula>-JL7+$AX$7</totalsRowFormula>
    </tableColumn>
    <tableColumn id="273" xr3:uid="{38C19BE5-B95F-4B52-927A-E98757A33779}" uniqueName="273" name="Column273" totalsRowFunction="custom" queryTableFieldId="273" dataDxfId="1455" totalsRowDxfId="1454">
      <totalsRowFormula>-JM7+$AX$7</totalsRowFormula>
    </tableColumn>
    <tableColumn id="274" xr3:uid="{8F8CB3B8-6B88-41B0-86EE-D7037FD674C4}" uniqueName="274" name="Column274" totalsRowFunction="custom" queryTableFieldId="274" dataDxfId="1453" totalsRowDxfId="1452">
      <totalsRowFormula>-JN7+$AX$7</totalsRowFormula>
    </tableColumn>
    <tableColumn id="275" xr3:uid="{24317EE2-5EFA-4B55-A098-CC8599F7E8A9}" uniqueName="275" name="Column275" totalsRowFunction="custom" queryTableFieldId="275" dataDxfId="1451" totalsRowDxfId="1450">
      <totalsRowFormula>-JO7+$AX$7</totalsRowFormula>
    </tableColumn>
    <tableColumn id="276" xr3:uid="{BA205853-4F5E-4589-AAA3-E365AE854DAE}" uniqueName="276" name="Column276" totalsRowFunction="custom" queryTableFieldId="276" dataDxfId="1449" totalsRowDxfId="1448">
      <totalsRowFormula>-JP7+$AX$7</totalsRowFormula>
    </tableColumn>
    <tableColumn id="277" xr3:uid="{BE594A73-A57B-410D-8DB5-4C75A131D1DA}" uniqueName="277" name="Column277" totalsRowFunction="custom" queryTableFieldId="277" dataDxfId="1447" totalsRowDxfId="1446">
      <totalsRowFormula>-JQ7+$AX$7</totalsRowFormula>
    </tableColumn>
    <tableColumn id="278" xr3:uid="{413FCED1-AA20-4ED1-A2E6-14DBACCACCB8}" uniqueName="278" name="Column278" totalsRowFunction="custom" queryTableFieldId="278" dataDxfId="1445" totalsRowDxfId="1444">
      <totalsRowFormula>-JR7+$AX$7</totalsRowFormula>
    </tableColumn>
    <tableColumn id="279" xr3:uid="{4CC368C6-8C99-4163-BA6F-50426C5E49DF}" uniqueName="279" name="Column279" totalsRowFunction="custom" queryTableFieldId="279" dataDxfId="1443" totalsRowDxfId="1442">
      <totalsRowFormula>-JS7+$AX$7</totalsRowFormula>
    </tableColumn>
    <tableColumn id="280" xr3:uid="{3EAFC152-DE9F-40AD-98AB-F36B051E2ED3}" uniqueName="280" name="Column280" totalsRowFunction="custom" queryTableFieldId="280" dataDxfId="1441" totalsRowDxfId="1440">
      <totalsRowFormula>-JT7+$AX$7</totalsRowFormula>
    </tableColumn>
    <tableColumn id="281" xr3:uid="{CD2A8D62-BCA8-48E4-A770-FB69D52EF21E}" uniqueName="281" name="Column281" totalsRowFunction="custom" queryTableFieldId="281" dataDxfId="1439" totalsRowDxfId="1438">
      <totalsRowFormula>-JU7+$AX$7</totalsRowFormula>
    </tableColumn>
    <tableColumn id="282" xr3:uid="{E6B052D5-F3E3-44EB-BDC3-0770DD106908}" uniqueName="282" name="Column282" totalsRowFunction="custom" queryTableFieldId="282" dataDxfId="1437" totalsRowDxfId="1436">
      <totalsRowFormula>-JV7+$AX$7</totalsRowFormula>
    </tableColumn>
    <tableColumn id="283" xr3:uid="{C0428F1C-41CB-47AB-9C93-80BBBE8C49AA}" uniqueName="283" name="Column283" totalsRowFunction="custom" queryTableFieldId="283" dataDxfId="1435" totalsRowDxfId="1434">
      <totalsRowFormula>-JW7+$AX$7</totalsRowFormula>
    </tableColumn>
    <tableColumn id="284" xr3:uid="{FCFF9028-2BA3-47FE-B9AE-A53273398F9A}" uniqueName="284" name="Column284" totalsRowFunction="custom" queryTableFieldId="284" dataDxfId="1433" totalsRowDxfId="1432">
      <totalsRowFormula>-JX7+$AX$7</totalsRowFormula>
    </tableColumn>
    <tableColumn id="285" xr3:uid="{EDFD0DFD-D8EA-4698-AA9B-014C5CFC86F5}" uniqueName="285" name="Column285" totalsRowFunction="custom" queryTableFieldId="285" dataDxfId="1431" totalsRowDxfId="1430">
      <totalsRowFormula>-JY7+$AX$7</totalsRowFormula>
    </tableColumn>
    <tableColumn id="286" xr3:uid="{57FC6D4B-10DD-4250-924B-549625084D64}" uniqueName="286" name="Column286" totalsRowFunction="custom" queryTableFieldId="286" dataDxfId="1429" totalsRowDxfId="1428">
      <totalsRowFormula>-JZ7+$AX$7</totalsRowFormula>
    </tableColumn>
    <tableColumn id="287" xr3:uid="{21BEB2FB-7221-45FF-93FD-E98900653EAF}" uniqueName="287" name="Column287" totalsRowFunction="custom" queryTableFieldId="287" dataDxfId="1427" totalsRowDxfId="1426">
      <totalsRowFormula>-KA7+$AX$7</totalsRowFormula>
    </tableColumn>
    <tableColumn id="288" xr3:uid="{44EE4E58-39EA-4D3A-8BC6-CCD336F227FA}" uniqueName="288" name="Column288" totalsRowFunction="custom" queryTableFieldId="288" dataDxfId="1425" totalsRowDxfId="1424">
      <totalsRowFormula>-KB7+$AX$7</totalsRowFormula>
    </tableColumn>
    <tableColumn id="289" xr3:uid="{FEC6CA43-5B83-4A44-92FD-3B6AC6CCE26D}" uniqueName="289" name="Column289" totalsRowFunction="custom" queryTableFieldId="289" dataDxfId="1423" totalsRowDxfId="1422">
      <totalsRowFormula>-KC7+$AX$7</totalsRowFormula>
    </tableColumn>
    <tableColumn id="290" xr3:uid="{6CD2CA5B-B583-4EB3-9533-F8AE965D519D}" uniqueName="290" name="Column290" totalsRowFunction="custom" queryTableFieldId="290" dataDxfId="1421" totalsRowDxfId="1420">
      <totalsRowFormula>-KD7+$AX$7</totalsRowFormula>
    </tableColumn>
    <tableColumn id="291" xr3:uid="{78FC01C0-093C-43C4-A13C-2815CD25D43D}" uniqueName="291" name="Column291" totalsRowFunction="custom" queryTableFieldId="291" dataDxfId="1419" totalsRowDxfId="1418">
      <totalsRowFormula>-KE7+$AX$7</totalsRowFormula>
    </tableColumn>
    <tableColumn id="292" xr3:uid="{CCDFF76E-A800-47BA-B745-F35BED9BED1C}" uniqueName="292" name="Column292" totalsRowFunction="custom" queryTableFieldId="292" dataDxfId="1417" totalsRowDxfId="1416">
      <totalsRowFormula>-KF7+$AX$7</totalsRowFormula>
    </tableColumn>
    <tableColumn id="293" xr3:uid="{76CB171B-FF08-4890-B720-D811D3266222}" uniqueName="293" name="Column293" totalsRowFunction="custom" queryTableFieldId="293" dataDxfId="1415" totalsRowDxfId="1414">
      <totalsRowFormula>-KG7+$AX$7</totalsRowFormula>
    </tableColumn>
    <tableColumn id="294" xr3:uid="{82D4567B-CA8E-4C16-B1C4-7D81E0519057}" uniqueName="294" name="Column294" totalsRowFunction="custom" queryTableFieldId="294" dataDxfId="1413" totalsRowDxfId="1412">
      <totalsRowFormula>-KH7+$AX$7</totalsRowFormula>
    </tableColumn>
    <tableColumn id="295" xr3:uid="{792741FB-A80C-4A4F-A842-B077D50FC25C}" uniqueName="295" name="Column295" totalsRowFunction="custom" queryTableFieldId="295" dataDxfId="1411" totalsRowDxfId="1410">
      <totalsRowFormula>-KI7+$AX$7</totalsRowFormula>
    </tableColumn>
    <tableColumn id="296" xr3:uid="{D9A5C112-C14E-4E31-80CB-0D61A6711A10}" uniqueName="296" name="Column296" totalsRowFunction="custom" queryTableFieldId="296" dataDxfId="1409" totalsRowDxfId="1408">
      <totalsRowFormula>-KJ7+$AX$7</totalsRowFormula>
    </tableColumn>
    <tableColumn id="297" xr3:uid="{04F73D57-009E-4AAB-9EE3-8DA9CE21B3CC}" uniqueName="297" name="Column297" totalsRowFunction="custom" queryTableFieldId="297" dataDxfId="1407" totalsRowDxfId="1406">
      <totalsRowFormula>-KK7+$AX$7</totalsRowFormula>
    </tableColumn>
    <tableColumn id="298" xr3:uid="{50052C98-5BB0-4608-A510-46C63C781BE6}" uniqueName="298" name="Column298" totalsRowFunction="custom" queryTableFieldId="298" dataDxfId="1405" totalsRowDxfId="1404">
      <totalsRowFormula>-KL7+$AX$7</totalsRowFormula>
    </tableColumn>
    <tableColumn id="299" xr3:uid="{A83BAF4F-00E1-419B-9E19-A250FB23494F}" uniqueName="299" name="Column299" totalsRowFunction="custom" queryTableFieldId="299" dataDxfId="1403" totalsRowDxfId="1402">
      <totalsRowFormula>-KM7+$AX$7</totalsRowFormula>
    </tableColumn>
    <tableColumn id="300" xr3:uid="{9A487AFC-48B6-462D-97FC-72358574B698}" uniqueName="300" name="Column300" totalsRowFunction="custom" queryTableFieldId="300" dataDxfId="1401" totalsRowDxfId="1400">
      <totalsRowFormula>-KN7+$AX$7</totalsRowFormula>
    </tableColumn>
    <tableColumn id="301" xr3:uid="{DA5DA912-0239-4DBE-9D3F-3282FF6F64BD}" uniqueName="301" name="Column301" totalsRowFunction="custom" queryTableFieldId="301" dataDxfId="1399" totalsRowDxfId="1398">
      <totalsRowFormula>-KO7+$AX$7</totalsRowFormula>
    </tableColumn>
    <tableColumn id="302" xr3:uid="{C0DA4CC7-2643-4F6B-A42D-1BD4AA662F51}" uniqueName="302" name="Column302" totalsRowFunction="custom" queryTableFieldId="302" dataDxfId="1397" totalsRowDxfId="1396">
      <totalsRowFormula>-KP7+$AX$7</totalsRowFormula>
    </tableColumn>
    <tableColumn id="303" xr3:uid="{AED4C054-1785-4BF7-BD7D-542F8B3254C0}" uniqueName="303" name="Column303" totalsRowFunction="custom" queryTableFieldId="303" dataDxfId="1395" totalsRowDxfId="1394">
      <totalsRowFormula>-KQ7+$AX$7</totalsRowFormula>
    </tableColumn>
    <tableColumn id="304" xr3:uid="{3DE1E90B-D071-412A-9C93-1EEE0949F550}" uniqueName="304" name="Column304" totalsRowFunction="custom" queryTableFieldId="304" dataDxfId="1393" totalsRowDxfId="1392">
      <totalsRowFormula>-KR7+$AX$7</totalsRowFormula>
    </tableColumn>
    <tableColumn id="305" xr3:uid="{E840715D-15D5-43CE-A861-0C45C3D2649A}" uniqueName="305" name="Column305" totalsRowFunction="custom" queryTableFieldId="305" dataDxfId="1391" totalsRowDxfId="1390">
      <totalsRowFormula>-KS7+$AX$7</totalsRowFormula>
    </tableColumn>
    <tableColumn id="306" xr3:uid="{CDDEE383-CB4D-4A61-A0D8-958E5DECCB8B}" uniqueName="306" name="Column306" totalsRowFunction="custom" queryTableFieldId="306" dataDxfId="1389" totalsRowDxfId="1388">
      <totalsRowFormula>-KT7+$AX$7</totalsRowFormula>
    </tableColumn>
    <tableColumn id="307" xr3:uid="{5409AA00-D6EA-4567-8BEF-0E06FA6E8A6D}" uniqueName="307" name="Column307" totalsRowFunction="custom" queryTableFieldId="307" dataDxfId="1387" totalsRowDxfId="1386">
      <totalsRowFormula>-KU7+$AX$7</totalsRowFormula>
    </tableColumn>
    <tableColumn id="308" xr3:uid="{68B75BFE-2387-4C2C-A318-F0948170B897}" uniqueName="308" name="Column308" totalsRowFunction="custom" queryTableFieldId="308" dataDxfId="1385" totalsRowDxfId="1384">
      <totalsRowFormula>-KV7+$AX$7</totalsRowFormula>
    </tableColumn>
    <tableColumn id="309" xr3:uid="{908A4AB4-B7AF-40C9-8E1C-83FA64294C99}" uniqueName="309" name="Column309" totalsRowFunction="custom" queryTableFieldId="309" dataDxfId="1383" totalsRowDxfId="1382">
      <totalsRowFormula>-KW7+$AX$7</totalsRowFormula>
    </tableColumn>
    <tableColumn id="310" xr3:uid="{24BCC1CE-4300-4007-B553-BC432758E56F}" uniqueName="310" name="Column310" totalsRowFunction="custom" queryTableFieldId="310" dataDxfId="1381" totalsRowDxfId="1380">
      <totalsRowFormula>-KX7+$AX$7</totalsRowFormula>
    </tableColumn>
    <tableColumn id="311" xr3:uid="{EF7F1D4C-B373-4B83-9A10-29E07E85DABD}" uniqueName="311" name="Column311" totalsRowFunction="custom" queryTableFieldId="311" dataDxfId="1379" totalsRowDxfId="1378">
      <totalsRowFormula>-KY7+$AX$7</totalsRowFormula>
    </tableColumn>
    <tableColumn id="312" xr3:uid="{E1B8431D-8864-4882-BA22-8541055FD8EB}" uniqueName="312" name="Column312" totalsRowFunction="custom" queryTableFieldId="312" dataDxfId="1377" totalsRowDxfId="1376">
      <totalsRowFormula>-KZ7+$AX$7</totalsRowFormula>
    </tableColumn>
    <tableColumn id="313" xr3:uid="{346C22C2-8BC2-4A81-96C5-5A33564C7232}" uniqueName="313" name="Column313" totalsRowFunction="custom" queryTableFieldId="313" dataDxfId="1375" totalsRowDxfId="1374">
      <totalsRowFormula>-LA7+$AX$7</totalsRowFormula>
    </tableColumn>
    <tableColumn id="314" xr3:uid="{43EE8752-2993-4ABD-9438-C3F45D00568B}" uniqueName="314" name="Column314" totalsRowFunction="custom" queryTableFieldId="314" dataDxfId="1373" totalsRowDxfId="1372">
      <totalsRowFormula>-LB7+$AX$7</totalsRowFormula>
    </tableColumn>
    <tableColumn id="315" xr3:uid="{19DCFD6A-EE2C-4B03-B7AB-C4D9C559BE17}" uniqueName="315" name="Column315" totalsRowFunction="custom" queryTableFieldId="315" dataDxfId="1371" totalsRowDxfId="1370">
      <totalsRowFormula>-LC7+$AX$7</totalsRowFormula>
    </tableColumn>
    <tableColumn id="316" xr3:uid="{541AAF89-D36B-4439-A9B6-A15F06BAB12B}" uniqueName="316" name="Column316" totalsRowFunction="custom" queryTableFieldId="316" dataDxfId="1369" totalsRowDxfId="1368">
      <totalsRowFormula>-LD7+$AX$7</totalsRowFormula>
    </tableColumn>
    <tableColumn id="317" xr3:uid="{2A1939E7-CD2C-4967-A13A-84797B83B83C}" uniqueName="317" name="Column317" totalsRowFunction="custom" queryTableFieldId="317" dataDxfId="1367" totalsRowDxfId="1366">
      <totalsRowFormula>-LE7+$AX$7</totalsRowFormula>
    </tableColumn>
    <tableColumn id="318" xr3:uid="{85F5CEF9-DCE4-4BE5-BEA6-B1B09BB13E5F}" uniqueName="318" name="Column318" totalsRowFunction="custom" queryTableFieldId="318" dataDxfId="1365" totalsRowDxfId="1364">
      <totalsRowFormula>-LF7+$AX$7</totalsRowFormula>
    </tableColumn>
    <tableColumn id="319" xr3:uid="{3AC00C3F-EE53-4050-A755-3F46499F3388}" uniqueName="319" name="Column319" totalsRowFunction="custom" queryTableFieldId="319" dataDxfId="1363" totalsRowDxfId="1362">
      <totalsRowFormula>-LG7+$AX$7</totalsRowFormula>
    </tableColumn>
    <tableColumn id="320" xr3:uid="{22D6FD3E-4FEA-48AE-B3CD-08C51D79EF9C}" uniqueName="320" name="Column320" totalsRowFunction="custom" queryTableFieldId="320" dataDxfId="1361" totalsRowDxfId="1360">
      <totalsRowFormula>-LH7+$AX$7</totalsRowFormula>
    </tableColumn>
    <tableColumn id="321" xr3:uid="{255DF6D0-CA99-419C-A0BC-EE2FE388FD10}" uniqueName="321" name="Column321" totalsRowFunction="custom" queryTableFieldId="321" dataDxfId="1359" totalsRowDxfId="1358">
      <totalsRowFormula>-LI7+$AX$7</totalsRowFormula>
    </tableColumn>
    <tableColumn id="322" xr3:uid="{A7D35E87-A836-4D29-8926-08C9A1196D23}" uniqueName="322" name="Column322" totalsRowFunction="custom" queryTableFieldId="322" dataDxfId="1357" totalsRowDxfId="1356">
      <totalsRowFormula>-LJ7+$AX$7</totalsRowFormula>
    </tableColumn>
    <tableColumn id="323" xr3:uid="{1C5AAEB1-74C3-43C1-9949-25D07BEF553C}" uniqueName="323" name="Column323" totalsRowFunction="custom" queryTableFieldId="323" dataDxfId="1355" totalsRowDxfId="1354">
      <totalsRowFormula>-LK7+$AX$7</totalsRowFormula>
    </tableColumn>
    <tableColumn id="324" xr3:uid="{77AADB2E-FAAD-4DCE-B5BB-FC50D4E53C21}" uniqueName="324" name="Column324" totalsRowFunction="custom" queryTableFieldId="324" dataDxfId="1353" totalsRowDxfId="1352">
      <totalsRowFormula>-LL7+$AX$7</totalsRowFormula>
    </tableColumn>
    <tableColumn id="325" xr3:uid="{D0C6EA1E-3B6D-4BB4-A4CF-F8F0B15923BF}" uniqueName="325" name="Column325" totalsRowFunction="custom" queryTableFieldId="325" dataDxfId="1351" totalsRowDxfId="1350">
      <totalsRowFormula>-LM7+$AX$7</totalsRowFormula>
    </tableColumn>
    <tableColumn id="326" xr3:uid="{26B67CFB-E63C-41C5-9A21-7FB312C94588}" uniqueName="326" name="Column326" totalsRowFunction="custom" queryTableFieldId="326" dataDxfId="1349" totalsRowDxfId="1348">
      <totalsRowFormula>-LN7+$AX$7</totalsRowFormula>
    </tableColumn>
    <tableColumn id="327" xr3:uid="{61389F5E-57E1-4210-86C4-14F405847843}" uniqueName="327" name="Column327" totalsRowFunction="custom" queryTableFieldId="327" dataDxfId="1347" totalsRowDxfId="1346">
      <totalsRowFormula>-LO7+$AX$7</totalsRowFormula>
    </tableColumn>
    <tableColumn id="328" xr3:uid="{11469265-81F5-44DF-8B9B-23848CD51492}" uniqueName="328" name="Column328" totalsRowFunction="custom" queryTableFieldId="328" dataDxfId="1345" totalsRowDxfId="1344">
      <totalsRowFormula>-LP7+$AX$7</totalsRowFormula>
    </tableColumn>
    <tableColumn id="329" xr3:uid="{4D890E0B-0581-4FCC-BA5F-8C445E0B5434}" uniqueName="329" name="Column329" totalsRowFunction="custom" queryTableFieldId="329" dataDxfId="1343" totalsRowDxfId="1342">
      <totalsRowFormula>-LQ7+$AX$7</totalsRowFormula>
    </tableColumn>
    <tableColumn id="330" xr3:uid="{75C2F203-6B2D-48BA-A610-4339AD249182}" uniqueName="330" name="Column330" totalsRowFunction="custom" queryTableFieldId="330" dataDxfId="1341" totalsRowDxfId="1340">
      <totalsRowFormula>-LR7+$AX$7</totalsRowFormula>
    </tableColumn>
    <tableColumn id="331" xr3:uid="{AA950F88-1E20-4EF3-A931-C88D05889457}" uniqueName="331" name="Column331" totalsRowFunction="custom" queryTableFieldId="331" dataDxfId="1339" totalsRowDxfId="1338">
      <totalsRowFormula>-LS7+$AX$7</totalsRowFormula>
    </tableColumn>
    <tableColumn id="332" xr3:uid="{6723785D-F93E-4A3C-8AFE-39DB0B245F43}" uniqueName="332" name="Column332" totalsRowFunction="custom" queryTableFieldId="332" dataDxfId="1337" totalsRowDxfId="1336">
      <totalsRowFormula>-LT7+$AX$7</totalsRowFormula>
    </tableColumn>
    <tableColumn id="333" xr3:uid="{B2CCDAF2-B8EF-4F59-BC4E-481401106650}" uniqueName="333" name="Column333" totalsRowFunction="custom" queryTableFieldId="333" dataDxfId="1335" totalsRowDxfId="1334">
      <totalsRowFormula>-LU7+$AX$7</totalsRowFormula>
    </tableColumn>
    <tableColumn id="334" xr3:uid="{68CDCCD3-EDE8-421F-A784-1F7C16631DE7}" uniqueName="334" name="Column334" totalsRowFunction="custom" queryTableFieldId="334" dataDxfId="1333" totalsRowDxfId="1332">
      <totalsRowFormula>-LV7+$AX$7</totalsRowFormula>
    </tableColumn>
    <tableColumn id="335" xr3:uid="{B8D0EF3F-A261-4A5D-8C9C-F4B776F0172E}" uniqueName="335" name="Column335" totalsRowFunction="custom" queryTableFieldId="335" dataDxfId="1331" totalsRowDxfId="1330">
      <totalsRowFormula>-LW7+$AX$7</totalsRowFormula>
    </tableColumn>
    <tableColumn id="336" xr3:uid="{4D4EDDC3-72D4-4266-BA91-6185A2B7F7C6}" uniqueName="336" name="Column336" totalsRowFunction="custom" queryTableFieldId="336" dataDxfId="1329" totalsRowDxfId="1328">
      <totalsRowFormula>-LX7+$AX$7</totalsRowFormula>
    </tableColumn>
    <tableColumn id="337" xr3:uid="{D0CE2A10-9078-4BD4-BA65-E5067CD211F4}" uniqueName="337" name="Column337" totalsRowFunction="custom" queryTableFieldId="337" dataDxfId="1327" totalsRowDxfId="1326">
      <totalsRowFormula>-LY7+$AX$7</totalsRowFormula>
    </tableColumn>
    <tableColumn id="338" xr3:uid="{AA9C6CED-0AF9-4107-A2DF-50E1F424C25A}" uniqueName="338" name="Column338" totalsRowFunction="custom" queryTableFieldId="338" dataDxfId="1325" totalsRowDxfId="1324">
      <totalsRowFormula>-LZ7+$AX$7</totalsRowFormula>
    </tableColumn>
    <tableColumn id="339" xr3:uid="{D19B4CC5-20A8-42CB-8CCC-77EDDC66137F}" uniqueName="339" name="Column339" totalsRowFunction="custom" queryTableFieldId="339" dataDxfId="1323" totalsRowDxfId="1322">
      <totalsRowFormula>-MA7+$AX$7</totalsRowFormula>
    </tableColumn>
    <tableColumn id="340" xr3:uid="{2D82B506-249E-481B-8CCD-107A340EE8C0}" uniqueName="340" name="Column340" totalsRowFunction="custom" queryTableFieldId="340" dataDxfId="1321" totalsRowDxfId="1320">
      <totalsRowFormula>-MB7+$AX$7</totalsRowFormula>
    </tableColumn>
    <tableColumn id="341" xr3:uid="{A2D38B16-60CF-499C-A96B-381EF9A74BCE}" uniqueName="341" name="Column341" totalsRowFunction="custom" queryTableFieldId="341" dataDxfId="1319" totalsRowDxfId="1318">
      <totalsRowFormula>-MC7+$AX$7</totalsRowFormula>
    </tableColumn>
    <tableColumn id="342" xr3:uid="{4F15720B-44CB-406F-9EEC-31CB6CB70FCF}" uniqueName="342" name="Column342" totalsRowFunction="custom" queryTableFieldId="342" dataDxfId="1317" totalsRowDxfId="1316">
      <totalsRowFormula>-MD7+$AX$7</totalsRowFormula>
    </tableColumn>
    <tableColumn id="343" xr3:uid="{03C877D2-61A4-4349-9003-D3EAFB37EA66}" uniqueName="343" name="Column343" totalsRowFunction="custom" queryTableFieldId="343" dataDxfId="1315" totalsRowDxfId="1314">
      <totalsRowFormula>-ME7+$AX$7</totalsRowFormula>
    </tableColumn>
    <tableColumn id="344" xr3:uid="{7088A7C6-EC11-42E1-A2F1-11F3DAC71520}" uniqueName="344" name="Column344" totalsRowFunction="custom" queryTableFieldId="344" dataDxfId="1313" totalsRowDxfId="1312">
      <totalsRowFormula>-MF7+$AX$7</totalsRowFormula>
    </tableColumn>
    <tableColumn id="345" xr3:uid="{1BA2547A-B190-405A-B990-FF20A63304C0}" uniqueName="345" name="Column345" totalsRowFunction="custom" queryTableFieldId="345" dataDxfId="1311" totalsRowDxfId="1310">
      <totalsRowFormula>-MG7+$AX$7</totalsRowFormula>
    </tableColumn>
    <tableColumn id="346" xr3:uid="{EED4A9D6-E304-4EC4-9A81-2B81FCA53449}" uniqueName="346" name="Column346" totalsRowFunction="custom" queryTableFieldId="346" dataDxfId="1309" totalsRowDxfId="1308">
      <totalsRowFormula>-MH7+$AX$7</totalsRowFormula>
    </tableColumn>
    <tableColumn id="347" xr3:uid="{BA1D0A83-B972-4775-8D36-7596FBE9D5AC}" uniqueName="347" name="Column347" totalsRowFunction="custom" queryTableFieldId="347" dataDxfId="1307" totalsRowDxfId="1306">
      <totalsRowFormula>-MI7+$AX$7</totalsRowFormula>
    </tableColumn>
    <tableColumn id="348" xr3:uid="{00E966EE-FDD9-414D-9952-8B4E5210564C}" uniqueName="348" name="Column348" totalsRowFunction="custom" queryTableFieldId="348" dataDxfId="1305" totalsRowDxfId="1304">
      <totalsRowFormula>-MJ7+$AX$7</totalsRowFormula>
    </tableColumn>
    <tableColumn id="349" xr3:uid="{578DA8C3-7E40-4833-9E60-4EED311D915B}" uniqueName="349" name="Column349" totalsRowFunction="custom" queryTableFieldId="349" dataDxfId="1303" totalsRowDxfId="1302">
      <totalsRowFormula>-MK7+$AX$7</totalsRowFormula>
    </tableColumn>
    <tableColumn id="350" xr3:uid="{010C009E-F6E8-4109-A5C7-F3EEA9B7F438}" uniqueName="350" name="Column350" totalsRowFunction="custom" queryTableFieldId="350" dataDxfId="1301" totalsRowDxfId="1300">
      <totalsRowFormula>-ML7+$AX$7</totalsRowFormula>
    </tableColumn>
    <tableColumn id="351" xr3:uid="{CDF263BD-212F-439B-8B12-0ABC29862075}" uniqueName="351" name="Column351" totalsRowFunction="custom" queryTableFieldId="351" dataDxfId="1299" totalsRowDxfId="1298">
      <totalsRowFormula>-MM7+$AX$7</totalsRowFormula>
    </tableColumn>
    <tableColumn id="352" xr3:uid="{77452F5C-68FA-4C6B-8E0F-4276BD13AA7F}" uniqueName="352" name="Column352" totalsRowFunction="custom" queryTableFieldId="352" dataDxfId="1297" totalsRowDxfId="1296">
      <totalsRowFormula>-MN7+$AX$7</totalsRowFormula>
    </tableColumn>
    <tableColumn id="353" xr3:uid="{F7FCA219-1DD7-4958-A3DB-C5A170A6A348}" uniqueName="353" name="Column353" totalsRowFunction="custom" queryTableFieldId="353" dataDxfId="1295" totalsRowDxfId="1294">
      <totalsRowFormula>-MO7+$AX$7</totalsRowFormula>
    </tableColumn>
    <tableColumn id="354" xr3:uid="{8051D492-A398-43CD-8EB1-E20443F9235E}" uniqueName="354" name="Column354" totalsRowFunction="custom" queryTableFieldId="354" dataDxfId="1293" totalsRowDxfId="1292">
      <totalsRowFormula>-MP7+$AX$7</totalsRowFormula>
    </tableColumn>
    <tableColumn id="355" xr3:uid="{EE253612-34F1-4032-A40D-3F882FBEBB00}" uniqueName="355" name="Column355" totalsRowFunction="custom" queryTableFieldId="355" dataDxfId="1291" totalsRowDxfId="1290">
      <totalsRowFormula>-MQ7+$AX$7</totalsRowFormula>
    </tableColumn>
    <tableColumn id="356" xr3:uid="{ADED7729-ADB4-4A13-A13C-BC54E510D5FB}" uniqueName="356" name="Column356" totalsRowFunction="custom" queryTableFieldId="356" dataDxfId="1289" totalsRowDxfId="1288">
      <totalsRowFormula>-MR7+$AX$7</totalsRowFormula>
    </tableColumn>
    <tableColumn id="357" xr3:uid="{9CB10F19-03CC-4318-84EA-A4FCC2E76C22}" uniqueName="357" name="Column357" totalsRowFunction="custom" queryTableFieldId="357" dataDxfId="1287" totalsRowDxfId="1286">
      <totalsRowFormula>-MS7+$AX$7</totalsRowFormula>
    </tableColumn>
    <tableColumn id="358" xr3:uid="{0E0B1711-7D88-4FA4-B597-A233A28D9E50}" uniqueName="358" name="Column358" totalsRowFunction="custom" queryTableFieldId="358" dataDxfId="1285" totalsRowDxfId="1284">
      <totalsRowFormula>-MT7+$AX$7</totalsRowFormula>
    </tableColumn>
    <tableColumn id="359" xr3:uid="{487B6A33-3BD0-48EE-9676-95157F0B1339}" uniqueName="359" name="Column359" totalsRowFunction="custom" queryTableFieldId="359" dataDxfId="1283" totalsRowDxfId="1282">
      <totalsRowFormula>-MU7+$AX$7</totalsRowFormula>
    </tableColumn>
    <tableColumn id="360" xr3:uid="{6D47A13F-1B6E-41E6-9FBF-E47726B62581}" uniqueName="360" name="Column360" totalsRowFunction="custom" queryTableFieldId="360" dataDxfId="1281" totalsRowDxfId="1280">
      <totalsRowFormula>-MV7+$AX$7</totalsRowFormula>
    </tableColumn>
    <tableColumn id="361" xr3:uid="{8D45D43E-C4CD-41CF-B247-E87B38E0B46C}" uniqueName="361" name="Column361" totalsRowFunction="custom" queryTableFieldId="361" dataDxfId="1279" totalsRowDxfId="1278">
      <totalsRowFormula>-MW7+$AX$7</totalsRowFormula>
    </tableColumn>
    <tableColumn id="362" xr3:uid="{5B0D09BE-49C5-4AB8-9220-67DFBF91EE74}" uniqueName="362" name="Column362" totalsRowFunction="custom" queryTableFieldId="362" dataDxfId="1277" totalsRowDxfId="1276">
      <totalsRowFormula>-MX7+$AX$7</totalsRowFormula>
    </tableColumn>
    <tableColumn id="363" xr3:uid="{1739A210-1BE8-4B1F-8E02-7BFDB310C42B}" uniqueName="363" name="Column363" totalsRowFunction="custom" queryTableFieldId="363" dataDxfId="1275" totalsRowDxfId="1274">
      <totalsRowFormula>-MY7+$AX$7</totalsRowFormula>
    </tableColumn>
    <tableColumn id="364" xr3:uid="{C9419E72-FCC6-490B-8879-DDBB55608BC6}" uniqueName="364" name="Column364" totalsRowFunction="custom" queryTableFieldId="364" dataDxfId="1273" totalsRowDxfId="1272">
      <totalsRowFormula>-MZ7+$AX$7</totalsRowFormula>
    </tableColumn>
    <tableColumn id="365" xr3:uid="{CADF4612-4DA0-44E0-B9DC-C6076FB7A069}" uniqueName="365" name="Column365" totalsRowFunction="custom" queryTableFieldId="365" dataDxfId="1271" totalsRowDxfId="1270">
      <totalsRowFormula>-NA7+$AX$7</totalsRowFormula>
    </tableColumn>
    <tableColumn id="366" xr3:uid="{2041B7D2-524C-408B-9545-F25C2C86E941}" uniqueName="366" name="Column366" totalsRowFunction="custom" queryTableFieldId="366" dataDxfId="1269" totalsRowDxfId="1268">
      <totalsRowFormula>-NB7+$AX$7</totalsRowFormula>
    </tableColumn>
    <tableColumn id="367" xr3:uid="{954BE915-AA6F-4869-AA01-B377FE503AD0}" uniqueName="367" name="Column367" totalsRowFunction="custom" queryTableFieldId="367" dataDxfId="1267" totalsRowDxfId="1266">
      <totalsRowFormula>-NC7+$AX$7</totalsRowFormula>
    </tableColumn>
    <tableColumn id="368" xr3:uid="{04E09497-8D8C-4B52-B645-10ACB44D639E}" uniqueName="368" name="Column368" totalsRowFunction="custom" queryTableFieldId="368" dataDxfId="1265" totalsRowDxfId="1264">
      <totalsRowFormula>-ND7+$AX$7</totalsRowFormula>
    </tableColumn>
    <tableColumn id="369" xr3:uid="{ED70BD7D-6849-4D2F-8436-6FCCF7BF6A8E}" uniqueName="369" name="Column369" totalsRowFunction="custom" queryTableFieldId="369" dataDxfId="1263" totalsRowDxfId="1262">
      <totalsRowFormula>-NE7+$AX$7</totalsRowFormula>
    </tableColumn>
    <tableColumn id="370" xr3:uid="{DBAB19C9-6733-43E1-AE1A-07FBC19CC71E}" uniqueName="370" name="Column370" totalsRowFunction="custom" queryTableFieldId="370" dataDxfId="1261" totalsRowDxfId="1260">
      <totalsRowFormula>-NF7+$AX$7</totalsRowFormula>
    </tableColumn>
    <tableColumn id="371" xr3:uid="{2159FC4F-B27C-4A7E-912B-0FCB0086E8A5}" uniqueName="371" name="Column371" totalsRowFunction="custom" queryTableFieldId="371" dataDxfId="1259" totalsRowDxfId="1258">
      <totalsRowFormula>-NG7+$AX$7</totalsRowFormula>
    </tableColumn>
    <tableColumn id="372" xr3:uid="{40B3D7E7-26B9-4570-9B9C-428BAF5FAEE6}" uniqueName="372" name="Column372" totalsRowFunction="custom" queryTableFieldId="372" dataDxfId="1257" totalsRowDxfId="1256">
      <totalsRowFormula>-NH7+$AX$7</totalsRowFormula>
    </tableColumn>
    <tableColumn id="373" xr3:uid="{28F41214-D743-4D7A-9469-1C0AF5A2CBEC}" uniqueName="373" name="Column373" totalsRowFunction="custom" queryTableFieldId="373" dataDxfId="1255" totalsRowDxfId="1254">
      <totalsRowFormula>-NI7+$AX$7</totalsRowFormula>
    </tableColumn>
    <tableColumn id="374" xr3:uid="{085F7A8A-1430-46B1-B4DC-600589DAF79A}" uniqueName="374" name="Column374" totalsRowFunction="custom" queryTableFieldId="374" dataDxfId="1253" totalsRowDxfId="1252">
      <totalsRowFormula>-NJ7+$AX$7</totalsRowFormula>
    </tableColumn>
    <tableColumn id="375" xr3:uid="{ADF478FC-0012-4295-BBE7-A9ACE84FC961}" uniqueName="375" name="Column375" totalsRowFunction="custom" queryTableFieldId="375" dataDxfId="1251" totalsRowDxfId="1250">
      <totalsRowFormula>-NK7+$AX$7</totalsRowFormula>
    </tableColumn>
    <tableColumn id="376" xr3:uid="{089BA374-F099-4977-821D-77DB8E41BB9B}" uniqueName="376" name="Column376" totalsRowFunction="custom" queryTableFieldId="376" dataDxfId="1249" totalsRowDxfId="1248">
      <totalsRowFormula>-NL7+$AX$7</totalsRowFormula>
    </tableColumn>
    <tableColumn id="377" xr3:uid="{EF1592FA-C6E1-47BF-B981-EA184538919B}" uniqueName="377" name="Column377" totalsRowFunction="custom" queryTableFieldId="377" dataDxfId="1247" totalsRowDxfId="1246">
      <totalsRowFormula>-NM7+$AX$7</totalsRowFormula>
    </tableColumn>
    <tableColumn id="378" xr3:uid="{D9AC5424-1C17-4483-A64D-6E3D18403FA7}" uniqueName="378" name="Column378" totalsRowFunction="custom" queryTableFieldId="378" dataDxfId="1245" totalsRowDxfId="1244">
      <totalsRowFormula>-NN7+$AX$7</totalsRowFormula>
    </tableColumn>
    <tableColumn id="379" xr3:uid="{364317DB-F8E7-431B-9124-A43A9B411D14}" uniqueName="379" name="Column379" totalsRowFunction="custom" queryTableFieldId="379" dataDxfId="1243" totalsRowDxfId="1242">
      <totalsRowFormula>-NO7+$AX$7</totalsRowFormula>
    </tableColumn>
    <tableColumn id="380" xr3:uid="{AABEC713-870A-4E49-8709-40AAF22B5AF3}" uniqueName="380" name="Column380" totalsRowFunction="custom" queryTableFieldId="380" dataDxfId="1241" totalsRowDxfId="1240">
      <totalsRowFormula>-NP7+$AX$7</totalsRowFormula>
    </tableColumn>
    <tableColumn id="381" xr3:uid="{DD51605A-EFEC-478B-9715-6A662D5E437A}" uniqueName="381" name="Column381" totalsRowFunction="custom" queryTableFieldId="381" dataDxfId="1239" totalsRowDxfId="1238">
      <totalsRowFormula>-NQ7+$AX$7</totalsRowFormula>
    </tableColumn>
    <tableColumn id="382" xr3:uid="{830A9759-DAC4-4534-B0C9-365252F99976}" uniqueName="382" name="Column382" totalsRowFunction="custom" queryTableFieldId="382" dataDxfId="1237" totalsRowDxfId="1236">
      <totalsRowFormula>-NR7+$AX$7</totalsRowFormula>
    </tableColumn>
    <tableColumn id="383" xr3:uid="{B6C1DF18-776E-441E-9EB9-20D7C4E75A88}" uniqueName="383" name="Column383" totalsRowFunction="custom" queryTableFieldId="383" dataDxfId="1235" totalsRowDxfId="1234">
      <totalsRowFormula>-NS7+$AX$7</totalsRowFormula>
    </tableColumn>
    <tableColumn id="384" xr3:uid="{A44E9526-F95D-469B-8874-D6F0F33D4AF0}" uniqueName="384" name="Column384" totalsRowFunction="custom" queryTableFieldId="384" dataDxfId="1233" totalsRowDxfId="1232">
      <totalsRowFormula>-NT7+$AX$7</totalsRowFormula>
    </tableColumn>
    <tableColumn id="385" xr3:uid="{E07923A8-FE6D-4517-AC56-E6B03002B90C}" uniqueName="385" name="Column385" totalsRowFunction="custom" queryTableFieldId="385" dataDxfId="1231" totalsRowDxfId="1230">
      <totalsRowFormula>-NU7+$AX$7</totalsRowFormula>
    </tableColumn>
    <tableColumn id="386" xr3:uid="{62285C5E-EBBD-475A-90EB-120CB61BD7B6}" uniqueName="386" name="Column386" totalsRowFunction="custom" queryTableFieldId="386" dataDxfId="1229" totalsRowDxfId="1228">
      <totalsRowFormula>-NV7+$AX$7</totalsRowFormula>
    </tableColumn>
    <tableColumn id="387" xr3:uid="{DBE8B915-5D2F-46BB-81B8-1E0DAF0E5541}" uniqueName="387" name="Column387" totalsRowFunction="custom" queryTableFieldId="387" dataDxfId="1227" totalsRowDxfId="1226">
      <totalsRowFormula>-NW7+$AX$7</totalsRowFormula>
    </tableColumn>
    <tableColumn id="388" xr3:uid="{E48CB1C0-1BC1-4393-B2C4-07185B4E5B4A}" uniqueName="388" name="Column388" totalsRowFunction="custom" queryTableFieldId="388" dataDxfId="1225" totalsRowDxfId="1224">
      <totalsRowFormula>-NX7+$AX$7</totalsRowFormula>
    </tableColumn>
    <tableColumn id="389" xr3:uid="{0E17C511-47F1-43D9-B8D2-FF6E8272AC79}" uniqueName="389" name="Column389" totalsRowFunction="custom" queryTableFieldId="389" dataDxfId="1223" totalsRowDxfId="1222">
      <totalsRowFormula>-NY7+$AX$7</totalsRowFormula>
    </tableColumn>
    <tableColumn id="390" xr3:uid="{189007A0-1F9B-4482-9B58-76BB6B616BE1}" uniqueName="390" name="Column390" totalsRowFunction="custom" queryTableFieldId="390" dataDxfId="1221" totalsRowDxfId="1220">
      <totalsRowFormula>-NZ7+$AX$7</totalsRowFormula>
    </tableColumn>
    <tableColumn id="391" xr3:uid="{057577F1-2C9C-4AB8-9CDD-AF8D699394DF}" uniqueName="391" name="Column391" totalsRowFunction="custom" queryTableFieldId="391" dataDxfId="1219" totalsRowDxfId="1218">
      <totalsRowFormula>-OA7+$AX$7</totalsRowFormula>
    </tableColumn>
    <tableColumn id="392" xr3:uid="{BBC3F8AF-E351-4B65-9421-3AD151AEBB54}" uniqueName="392" name="Column392" totalsRowFunction="custom" queryTableFieldId="392" dataDxfId="1217" totalsRowDxfId="1216">
      <totalsRowFormula>-OB7+$AX$7</totalsRowFormula>
    </tableColumn>
    <tableColumn id="393" xr3:uid="{8E2095FD-8A3D-4E59-BD59-3B442794CBAE}" uniqueName="393" name="Column393" totalsRowFunction="custom" queryTableFieldId="393" dataDxfId="1215" totalsRowDxfId="1214">
      <totalsRowFormula>-OC7+$AX$7</totalsRowFormula>
    </tableColumn>
    <tableColumn id="394" xr3:uid="{12D1E8B1-497C-4CF1-A60A-52B813FC2C10}" uniqueName="394" name="Column394" totalsRowFunction="custom" queryTableFieldId="394" dataDxfId="1213" totalsRowDxfId="1212">
      <totalsRowFormula>-OD7+$AX$7</totalsRowFormula>
    </tableColumn>
    <tableColumn id="395" xr3:uid="{36866433-C0A0-4802-8D53-D5FBD6C150E4}" uniqueName="395" name="Column395" totalsRowFunction="custom" queryTableFieldId="395" dataDxfId="1211" totalsRowDxfId="1210">
      <totalsRowFormula>-OE7+$AX$7</totalsRowFormula>
    </tableColumn>
    <tableColumn id="396" xr3:uid="{63CEEAEE-A2A3-4812-A2D5-D89D91673EB6}" uniqueName="396" name="Column396" totalsRowFunction="custom" queryTableFieldId="396" dataDxfId="1209" totalsRowDxfId="1208">
      <totalsRowFormula>-OF7+$AX$7</totalsRowFormula>
    </tableColumn>
    <tableColumn id="397" xr3:uid="{6EC24F4A-E56A-45FC-8501-24804E881357}" uniqueName="397" name="Column397" totalsRowFunction="custom" queryTableFieldId="397" dataDxfId="1207" totalsRowDxfId="1206">
      <totalsRowFormula>-OG7+$AX$7</totalsRowFormula>
    </tableColumn>
    <tableColumn id="398" xr3:uid="{90F4E801-58DC-4BD0-B84C-B9BDDA50F66C}" uniqueName="398" name="Column398" totalsRowFunction="custom" queryTableFieldId="398" dataDxfId="1205" totalsRowDxfId="1204">
      <totalsRowFormula>-OH7+$AX$7</totalsRowFormula>
    </tableColumn>
    <tableColumn id="399" xr3:uid="{1AAFC908-7EB9-41DC-A0A5-B0B85F34DAF4}" uniqueName="399" name="Column399" totalsRowFunction="custom" queryTableFieldId="399" dataDxfId="1203" totalsRowDxfId="1202">
      <totalsRowFormula>-OI7+$AX$7</totalsRowFormula>
    </tableColumn>
    <tableColumn id="400" xr3:uid="{E8A77AB8-2CCC-41DB-9802-39512318620D}" uniqueName="400" name="Column400" totalsRowFunction="custom" queryTableFieldId="400" dataDxfId="1201" totalsRowDxfId="1200">
      <totalsRowFormula>-OJ7+$AX$7</totalsRowFormula>
    </tableColumn>
    <tableColumn id="401" xr3:uid="{E83E627D-28B0-4A8C-882D-5480E1EA2F94}" uniqueName="401" name="Column401" totalsRowFunction="custom" queryTableFieldId="401" dataDxfId="1199" totalsRowDxfId="1198">
      <totalsRowFormula>-OK7+$AX$7</totalsRowFormula>
    </tableColumn>
    <tableColumn id="402" xr3:uid="{0CA3A8B8-8C77-4863-91B7-3E946E1724C3}" uniqueName="402" name="Column402" totalsRowFunction="custom" queryTableFieldId="402" dataDxfId="1197" totalsRowDxfId="1196">
      <totalsRowFormula>-OL7+$AX$7</totalsRowFormula>
    </tableColumn>
    <tableColumn id="403" xr3:uid="{25835176-B39F-4598-BFA8-6BB7CD5AE6C4}" uniqueName="403" name="Column403" totalsRowFunction="custom" queryTableFieldId="403" dataDxfId="1195" totalsRowDxfId="1194">
      <totalsRowFormula>-OM7+$AX$7</totalsRowFormula>
    </tableColumn>
    <tableColumn id="404" xr3:uid="{E0CBDCDF-9D8C-4620-9F35-6A049237DDEE}" uniqueName="404" name="Column404" totalsRowFunction="custom" queryTableFieldId="404" dataDxfId="1193" totalsRowDxfId="1192">
      <totalsRowFormula>-ON7+$AX$7</totalsRowFormula>
    </tableColumn>
    <tableColumn id="405" xr3:uid="{B0A5FD4A-76E8-4912-968D-43094C5B40CA}" uniqueName="405" name="Column405" totalsRowFunction="custom" queryTableFieldId="405" dataDxfId="1191" totalsRowDxfId="1190">
      <totalsRowFormula>-OO7+$AX$7</totalsRowFormula>
    </tableColumn>
    <tableColumn id="406" xr3:uid="{A4680194-4C7A-45E8-876F-FF89EBEE109F}" uniqueName="406" name="Column406" totalsRowFunction="custom" queryTableFieldId="406" dataDxfId="1189" totalsRowDxfId="1188">
      <totalsRowFormula>-OP7+$AX$7</totalsRowFormula>
    </tableColumn>
    <tableColumn id="407" xr3:uid="{89F36A32-C4C4-46B1-936D-5ECC0720C45F}" uniqueName="407" name="Column407" totalsRowFunction="custom" queryTableFieldId="407" dataDxfId="1187" totalsRowDxfId="1186">
      <totalsRowFormula>-OQ7+$AX$7</totalsRowFormula>
    </tableColumn>
    <tableColumn id="408" xr3:uid="{EF1D46B2-7F54-4E22-A917-DCAC322C6F5C}" uniqueName="408" name="Column408" totalsRowFunction="custom" queryTableFieldId="408" dataDxfId="1185" totalsRowDxfId="1184">
      <totalsRowFormula>-OR7+$AX$7</totalsRowFormula>
    </tableColumn>
    <tableColumn id="409" xr3:uid="{25864F49-8C9A-48F5-B975-D3E594188B55}" uniqueName="409" name="Column409" totalsRowFunction="custom" queryTableFieldId="409" dataDxfId="1183" totalsRowDxfId="1182">
      <totalsRowFormula>-OS7+$AX$7</totalsRowFormula>
    </tableColumn>
    <tableColumn id="410" xr3:uid="{ABE2450E-4B5C-46AD-9ABA-87F78C7A1EDB}" uniqueName="410" name="Column410" totalsRowFunction="custom" queryTableFieldId="410" dataDxfId="1181" totalsRowDxfId="1180">
      <totalsRowFormula>-OT7+$AX$7</totalsRowFormula>
    </tableColumn>
    <tableColumn id="411" xr3:uid="{A01900F6-601F-44B1-9A25-C57DEFDF70F5}" uniqueName="411" name="Column411" totalsRowFunction="custom" queryTableFieldId="411" dataDxfId="1179" totalsRowDxfId="1178">
      <totalsRowFormula>-OU7+$AX$7</totalsRowFormula>
    </tableColumn>
    <tableColumn id="412" xr3:uid="{55378250-5C90-4301-858E-AC8BE26BF6BF}" uniqueName="412" name="Column412" totalsRowFunction="custom" queryTableFieldId="412" dataDxfId="1177" totalsRowDxfId="1176">
      <totalsRowFormula>-OV7+$AX$7</totalsRowFormula>
    </tableColumn>
    <tableColumn id="413" xr3:uid="{1D226547-EEA9-48E7-8753-F107EBF1272A}" uniqueName="413" name="Column413" totalsRowFunction="custom" queryTableFieldId="413" dataDxfId="1175" totalsRowDxfId="1174">
      <totalsRowFormula>-OW7+$AX$7</totalsRowFormula>
    </tableColumn>
    <tableColumn id="414" xr3:uid="{BEF84C51-6D69-4DDD-A83C-AB5C772E7188}" uniqueName="414" name="Column414" totalsRowFunction="custom" queryTableFieldId="414" dataDxfId="1173" totalsRowDxfId="1172">
      <totalsRowFormula>-OX7+$AX$7</totalsRowFormula>
    </tableColumn>
    <tableColumn id="415" xr3:uid="{6CD333E1-BDC7-4E0C-9EAA-88C79821BE6C}" uniqueName="415" name="Column415" totalsRowFunction="custom" queryTableFieldId="415" dataDxfId="1171" totalsRowDxfId="1170">
      <totalsRowFormula>-OY7+$AX$7</totalsRowFormula>
    </tableColumn>
    <tableColumn id="416" xr3:uid="{509F742B-4946-4D79-B8C3-D34E04E6D229}" uniqueName="416" name="Column416" totalsRowFunction="custom" queryTableFieldId="416" dataDxfId="1169" totalsRowDxfId="1168">
      <totalsRowFormula>-OZ7+$AX$7</totalsRowFormula>
    </tableColumn>
    <tableColumn id="417" xr3:uid="{83D8D321-53D6-41FA-B018-4E52F75E30AE}" uniqueName="417" name="Column417" totalsRowFunction="custom" queryTableFieldId="417" dataDxfId="1167" totalsRowDxfId="1166">
      <totalsRowFormula>-PA7+$AX$7</totalsRowFormula>
    </tableColumn>
    <tableColumn id="418" xr3:uid="{8C58B415-9858-4D73-AE11-CCD65B21A49B}" uniqueName="418" name="Column418" totalsRowFunction="custom" queryTableFieldId="418" dataDxfId="1165" totalsRowDxfId="1164">
      <totalsRowFormula>-PB7+$AX$7</totalsRowFormula>
    </tableColumn>
    <tableColumn id="419" xr3:uid="{F6C8F219-796B-427D-853C-43435CB588EE}" uniqueName="419" name="Column419" totalsRowFunction="custom" queryTableFieldId="419" dataDxfId="1163" totalsRowDxfId="1162">
      <totalsRowFormula>-PC7+$AX$7</totalsRowFormula>
    </tableColumn>
    <tableColumn id="420" xr3:uid="{B269D65F-CA9D-4DBA-8FA9-7B80C88E6841}" uniqueName="420" name="Column420" totalsRowFunction="custom" queryTableFieldId="420" dataDxfId="1161" totalsRowDxfId="1160">
      <totalsRowFormula>-PD7+$AX$7</totalsRowFormula>
    </tableColumn>
    <tableColumn id="421" xr3:uid="{E9038D9D-9F0F-405F-84D4-A59E4D2EE910}" uniqueName="421" name="Column421" totalsRowFunction="custom" queryTableFieldId="421" dataDxfId="1159" totalsRowDxfId="1158">
      <totalsRowFormula>-PE7+$AX$7</totalsRowFormula>
    </tableColumn>
    <tableColumn id="422" xr3:uid="{3EFA56BC-3921-483A-8CE7-4FD449460BBF}" uniqueName="422" name="Column422" totalsRowFunction="custom" queryTableFieldId="422" dataDxfId="1157" totalsRowDxfId="1156">
      <totalsRowFormula>-PF7+$AX$7</totalsRowFormula>
    </tableColumn>
    <tableColumn id="423" xr3:uid="{A2B94739-8D5C-4B5D-8610-4847B5933042}" uniqueName="423" name="Column423" totalsRowFunction="custom" queryTableFieldId="423" dataDxfId="1155" totalsRowDxfId="1154">
      <totalsRowFormula>-PG7+$AX$7</totalsRowFormula>
    </tableColumn>
    <tableColumn id="424" xr3:uid="{B7853AFC-7180-4215-B3FA-599F9AF613B1}" uniqueName="424" name="Column424" totalsRowFunction="custom" queryTableFieldId="424" dataDxfId="1153" totalsRowDxfId="1152">
      <totalsRowFormula>-PH7+$AX$7</totalsRowFormula>
    </tableColumn>
    <tableColumn id="425" xr3:uid="{422EFFC7-5753-43BD-964C-017EA16D9841}" uniqueName="425" name="Column425" totalsRowFunction="custom" queryTableFieldId="425" dataDxfId="1151" totalsRowDxfId="1150">
      <totalsRowFormula>-PI7+$AX$7</totalsRowFormula>
    </tableColumn>
    <tableColumn id="426" xr3:uid="{6E4194AE-2697-45DC-9410-46D2BE5FC65B}" uniqueName="426" name="Column426" totalsRowFunction="custom" queryTableFieldId="426" dataDxfId="1149" totalsRowDxfId="1148">
      <totalsRowFormula>-PJ7+$AX$7</totalsRowFormula>
    </tableColumn>
    <tableColumn id="427" xr3:uid="{37B7B746-BB7D-4625-A60F-E7E89961C6A6}" uniqueName="427" name="Column427" totalsRowFunction="custom" queryTableFieldId="427" dataDxfId="1147" totalsRowDxfId="1146">
      <totalsRowFormula>-PK7+$AX$7</totalsRowFormula>
    </tableColumn>
    <tableColumn id="428" xr3:uid="{EF3C649D-71BE-4919-99A3-1CAD70B68AF3}" uniqueName="428" name="Column428" totalsRowFunction="custom" queryTableFieldId="428" dataDxfId="1145" totalsRowDxfId="1144">
      <totalsRowFormula>-PL7+$AX$7</totalsRowFormula>
    </tableColumn>
    <tableColumn id="429" xr3:uid="{D75AAD50-59F8-4232-A6A6-F7F10844F4D8}" uniqueName="429" name="Column429" totalsRowFunction="custom" queryTableFieldId="429" dataDxfId="1143" totalsRowDxfId="1142">
      <totalsRowFormula>-PM7+$AX$7</totalsRowFormula>
    </tableColumn>
    <tableColumn id="430" xr3:uid="{7924C9B0-4BFF-44DF-B2A8-7BE82659A56D}" uniqueName="430" name="Column430" totalsRowFunction="custom" queryTableFieldId="430" dataDxfId="1141" totalsRowDxfId="1140">
      <totalsRowFormula>-PN7+$AX$7</totalsRowFormula>
    </tableColumn>
    <tableColumn id="431" xr3:uid="{BA7982A8-EC2E-42B0-BD8A-1A709A85B2FD}" uniqueName="431" name="Column431" totalsRowFunction="custom" queryTableFieldId="431" dataDxfId="1139" totalsRowDxfId="1138">
      <totalsRowFormula>-PO7+$AX$7</totalsRowFormula>
    </tableColumn>
    <tableColumn id="432" xr3:uid="{1DD28315-BD92-40CF-8473-18EF6C127CB3}" uniqueName="432" name="Column432" totalsRowFunction="custom" queryTableFieldId="432" dataDxfId="1137" totalsRowDxfId="1136">
      <totalsRowFormula>-PP7+$AX$7</totalsRowFormula>
    </tableColumn>
    <tableColumn id="433" xr3:uid="{1759435F-6D26-485E-B8AD-48026D00F484}" uniqueName="433" name="Column433" totalsRowFunction="custom" queryTableFieldId="433" dataDxfId="1135" totalsRowDxfId="1134">
      <totalsRowFormula>-PQ7+$AX$7</totalsRowFormula>
    </tableColumn>
    <tableColumn id="434" xr3:uid="{AEB318F1-2289-4082-A09B-F7651E31FEDE}" uniqueName="434" name="Column434" totalsRowFunction="custom" queryTableFieldId="434" dataDxfId="1133" totalsRowDxfId="1132">
      <totalsRowFormula>-PR7+$AX$7</totalsRowFormula>
    </tableColumn>
    <tableColumn id="435" xr3:uid="{423BC052-D228-4359-9F4C-B0190909850D}" uniqueName="435" name="Column435" totalsRowFunction="custom" queryTableFieldId="435" dataDxfId="1131" totalsRowDxfId="1130">
      <totalsRowFormula>-PS7+$AX$7</totalsRowFormula>
    </tableColumn>
    <tableColumn id="436" xr3:uid="{7FBB1F37-A6B0-42C2-8668-13CDFFEB2D0E}" uniqueName="436" name="Column436" totalsRowFunction="custom" queryTableFieldId="436" dataDxfId="1129" totalsRowDxfId="1128">
      <totalsRowFormula>-PT7+$AX$7</totalsRowFormula>
    </tableColumn>
    <tableColumn id="437" xr3:uid="{CD50521F-412A-494C-A5B8-EEBBCDFDA2A7}" uniqueName="437" name="Column437" totalsRowFunction="custom" queryTableFieldId="437" dataDxfId="1127" totalsRowDxfId="1126">
      <totalsRowFormula>-PU7+$AX$7</totalsRowFormula>
    </tableColumn>
    <tableColumn id="438" xr3:uid="{14D17490-AFDC-467A-8288-1A26465AEA70}" uniqueName="438" name="Column438" totalsRowFunction="custom" queryTableFieldId="438" dataDxfId="1125" totalsRowDxfId="1124">
      <totalsRowFormula>-PV7+$AX$7</totalsRowFormula>
    </tableColumn>
    <tableColumn id="439" xr3:uid="{F89AF797-5B01-4A82-91AF-357BF7FFF410}" uniqueName="439" name="Column439" totalsRowFunction="custom" queryTableFieldId="439" dataDxfId="1123" totalsRowDxfId="1122">
      <totalsRowFormula>-PW7+$AX$7</totalsRowFormula>
    </tableColumn>
    <tableColumn id="440" xr3:uid="{C23824E7-D0A2-4FFD-BC50-DA1889C5B66E}" uniqueName="440" name="Column440" totalsRowFunction="custom" queryTableFieldId="440" dataDxfId="1121" totalsRowDxfId="1120">
      <totalsRowFormula>-PX7+$AX$7</totalsRowFormula>
    </tableColumn>
    <tableColumn id="441" xr3:uid="{3CBB6EF0-E12D-40AD-835D-5DB1AF1F77A5}" uniqueName="441" name="Column441" totalsRowFunction="custom" queryTableFieldId="441" dataDxfId="1119" totalsRowDxfId="1118">
      <totalsRowFormula>-PY7+$AX$7</totalsRowFormula>
    </tableColumn>
    <tableColumn id="442" xr3:uid="{ACA7EEF2-3E19-429E-A9C9-83001DD840DD}" uniqueName="442" name="Column442" totalsRowFunction="custom" queryTableFieldId="442" dataDxfId="1117" totalsRowDxfId="1116">
      <totalsRowFormula>-PZ7+$AX$7</totalsRowFormula>
    </tableColumn>
    <tableColumn id="443" xr3:uid="{AA77BD65-25A2-4EB8-9FE4-1C3C648F8B8D}" uniqueName="443" name="Column443" totalsRowFunction="custom" queryTableFieldId="443" dataDxfId="1115" totalsRowDxfId="1114">
      <totalsRowFormula>-QA7+$AX$7</totalsRowFormula>
    </tableColumn>
    <tableColumn id="444" xr3:uid="{05A5E9D6-B877-45FE-9A2A-D38069D9BCBA}" uniqueName="444" name="Column444" totalsRowFunction="custom" queryTableFieldId="444" dataDxfId="1113" totalsRowDxfId="1112">
      <totalsRowFormula>-QB7+$AX$7</totalsRowFormula>
    </tableColumn>
    <tableColumn id="445" xr3:uid="{FC211782-83BB-4C05-8DBC-D653F9325291}" uniqueName="445" name="Column445" totalsRowFunction="custom" queryTableFieldId="445" dataDxfId="1111" totalsRowDxfId="1110">
      <totalsRowFormula>-QC7+$AX$7</totalsRowFormula>
    </tableColumn>
    <tableColumn id="446" xr3:uid="{57199853-0F60-4049-A7C9-38F8CE88C711}" uniqueName="446" name="Column446" totalsRowFunction="custom" queryTableFieldId="446" dataDxfId="1109" totalsRowDxfId="1108">
      <totalsRowFormula>-QD7+$AX$7</totalsRowFormula>
    </tableColumn>
    <tableColumn id="447" xr3:uid="{670EA211-1E20-4536-8364-93ED39336170}" uniqueName="447" name="Column447" totalsRowFunction="custom" queryTableFieldId="447" dataDxfId="1107" totalsRowDxfId="1106">
      <totalsRowFormula>-QE7+$AX$7</totalsRowFormula>
    </tableColumn>
    <tableColumn id="448" xr3:uid="{9CB85282-0A2B-4039-8F66-A96118444EC7}" uniqueName="448" name="Column448" totalsRowFunction="custom" queryTableFieldId="448" dataDxfId="1105" totalsRowDxfId="1104">
      <totalsRowFormula>-QF7+$AX$7</totalsRowFormula>
    </tableColumn>
    <tableColumn id="449" xr3:uid="{B1F585EB-4F8E-42BC-BDDA-2768A0124BC1}" uniqueName="449" name="Column449" totalsRowFunction="custom" queryTableFieldId="449" dataDxfId="1103" totalsRowDxfId="1102">
      <totalsRowFormula>-QG7+$AX$7</totalsRowFormula>
    </tableColumn>
    <tableColumn id="450" xr3:uid="{4D33F691-6520-4F73-951D-A2117A86B1F3}" uniqueName="450" name="Column450" totalsRowFunction="custom" queryTableFieldId="450" dataDxfId="1101" totalsRowDxfId="1100">
      <totalsRowFormula>-QH7+$AX$7</totalsRowFormula>
    </tableColumn>
    <tableColumn id="451" xr3:uid="{74E99B0D-274D-48A5-AAA5-DC50A06880ED}" uniqueName="451" name="Column451" totalsRowFunction="custom" queryTableFieldId="451" dataDxfId="1099" totalsRowDxfId="1098">
      <totalsRowFormula>-QI7+$AX$7</totalsRowFormula>
    </tableColumn>
    <tableColumn id="452" xr3:uid="{A88D313C-6AAA-49FA-AE9D-5FE4BC22BB31}" uniqueName="452" name="Column452" totalsRowFunction="custom" queryTableFieldId="452" dataDxfId="1097" totalsRowDxfId="1096">
      <totalsRowFormula>-QJ7+$AX$7</totalsRowFormula>
    </tableColumn>
    <tableColumn id="453" xr3:uid="{5D3788B9-BCC9-4949-BD95-1CC7F50BA774}" uniqueName="453" name="Column453" totalsRowFunction="custom" queryTableFieldId="453" dataDxfId="1095" totalsRowDxfId="1094">
      <totalsRowFormula>-QK7+$AX$7</totalsRowFormula>
    </tableColumn>
    <tableColumn id="454" xr3:uid="{7D7B6BC1-A3E6-4420-9E08-73530CCE1014}" uniqueName="454" name="Column454" totalsRowFunction="custom" queryTableFieldId="454" dataDxfId="1093" totalsRowDxfId="1092">
      <totalsRowFormula>-QL7+$AX$7</totalsRowFormula>
    </tableColumn>
    <tableColumn id="455" xr3:uid="{2CF04C80-8FA6-459B-AF6B-3648F66A1269}" uniqueName="455" name="Column455" totalsRowFunction="custom" queryTableFieldId="455" dataDxfId="1091" totalsRowDxfId="1090">
      <totalsRowFormula>-QM7+$AX$7</totalsRowFormula>
    </tableColumn>
    <tableColumn id="456" xr3:uid="{11DB2F5E-47D3-4BE4-BC27-2E98B7B129DA}" uniqueName="456" name="Column456" totalsRowFunction="custom" queryTableFieldId="456" dataDxfId="1089" totalsRowDxfId="1088">
      <totalsRowFormula>-QN7+$AX$7</totalsRowFormula>
    </tableColumn>
    <tableColumn id="457" xr3:uid="{AEB11B41-B399-496A-BAE5-0B59D929DE59}" uniqueName="457" name="Column457" totalsRowFunction="custom" queryTableFieldId="457" dataDxfId="1087" totalsRowDxfId="1086">
      <totalsRowFormula>-QO7+$AX$7</totalsRowFormula>
    </tableColumn>
    <tableColumn id="458" xr3:uid="{3FE20BCD-A51A-40AA-BC93-AEF9612129C3}" uniqueName="458" name="Column458" totalsRowFunction="custom" queryTableFieldId="458" dataDxfId="1085" totalsRowDxfId="1084">
      <totalsRowFormula>-QP7+$AX$7</totalsRowFormula>
    </tableColumn>
    <tableColumn id="459" xr3:uid="{876B29E1-258D-415A-B900-452601461EE0}" uniqueName="459" name="Column459" totalsRowFunction="custom" queryTableFieldId="459" dataDxfId="1083" totalsRowDxfId="1082">
      <totalsRowFormula>-QQ7+$AX$7</totalsRowFormula>
    </tableColumn>
    <tableColumn id="460" xr3:uid="{E226F4B7-8B15-42A4-BD9E-1AF528075B66}" uniqueName="460" name="Column460" totalsRowFunction="custom" queryTableFieldId="460" dataDxfId="1081" totalsRowDxfId="1080">
      <totalsRowFormula>-QR7+$AX$7</totalsRowFormula>
    </tableColumn>
    <tableColumn id="461" xr3:uid="{1B54E403-29D0-47F3-A98B-147EE0474F02}" uniqueName="461" name="Column461" totalsRowFunction="custom" queryTableFieldId="461" dataDxfId="1079" totalsRowDxfId="1078">
      <totalsRowFormula>-QS7+$AX$7</totalsRowFormula>
    </tableColumn>
    <tableColumn id="462" xr3:uid="{55B55FBA-7586-4A7B-9476-7FB5EF666418}" uniqueName="462" name="Column462" totalsRowFunction="custom" queryTableFieldId="462" dataDxfId="1077" totalsRowDxfId="1076">
      <totalsRowFormula>-QT7+$AX$7</totalsRowFormula>
    </tableColumn>
    <tableColumn id="463" xr3:uid="{6A4AAF4C-78D7-4EB2-A0FF-8D5374AE9211}" uniqueName="463" name="Column463" totalsRowFunction="custom" queryTableFieldId="463" dataDxfId="1075" totalsRowDxfId="1074">
      <totalsRowFormula>-QU7+$AX$7</totalsRowFormula>
    </tableColumn>
    <tableColumn id="464" xr3:uid="{F5BE651A-E2CD-4F2E-A042-84F7188C76E4}" uniqueName="464" name="Column464" totalsRowFunction="custom" queryTableFieldId="464" dataDxfId="1073" totalsRowDxfId="1072">
      <totalsRowFormula>-QV7+$AX$7</totalsRowFormula>
    </tableColumn>
    <tableColumn id="465" xr3:uid="{52120290-E245-42A6-91C3-29B7734839F6}" uniqueName="465" name="Column465" totalsRowFunction="custom" queryTableFieldId="465" dataDxfId="1071" totalsRowDxfId="1070">
      <totalsRowFormula>-QW7+$AX$7</totalsRowFormula>
    </tableColumn>
    <tableColumn id="466" xr3:uid="{5AE8231C-F180-4C1E-99AE-53408D459B04}" uniqueName="466" name="Column466" totalsRowFunction="custom" queryTableFieldId="466" dataDxfId="1069" totalsRowDxfId="1068">
      <totalsRowFormula>-QX7+$AX$7</totalsRowFormula>
    </tableColumn>
    <tableColumn id="467" xr3:uid="{62B6656B-9A56-4903-90DB-7FABE4E3AE3A}" uniqueName="467" name="Column467" totalsRowFunction="custom" queryTableFieldId="467" dataDxfId="1067" totalsRowDxfId="1066">
      <totalsRowFormula>-QY7+$AX$7</totalsRowFormula>
    </tableColumn>
    <tableColumn id="468" xr3:uid="{BCBEDD24-0E4E-45F3-AED7-906CBF87F83C}" uniqueName="468" name="Column468" totalsRowFunction="custom" queryTableFieldId="468" dataDxfId="1065" totalsRowDxfId="1064">
      <totalsRowFormula>-QZ7+$AX$7</totalsRowFormula>
    </tableColumn>
    <tableColumn id="469" xr3:uid="{0035D7A4-5076-46C2-923B-DC491A5BC6FF}" uniqueName="469" name="Column469" totalsRowFunction="custom" queryTableFieldId="469" dataDxfId="1063" totalsRowDxfId="1062">
      <totalsRowFormula>-RA7+$AX$7</totalsRowFormula>
    </tableColumn>
    <tableColumn id="470" xr3:uid="{36B3A3F6-CD7C-4F09-88A1-E0026B6D8F26}" uniqueName="470" name="Column470" totalsRowFunction="custom" queryTableFieldId="470" dataDxfId="1061" totalsRowDxfId="1060">
      <totalsRowFormula>-RB7+$AX$7</totalsRowFormula>
    </tableColumn>
    <tableColumn id="471" xr3:uid="{60CC8A30-B71C-4A7F-9E00-8187955BA5FD}" uniqueName="471" name="Column471" totalsRowFunction="custom" queryTableFieldId="471" dataDxfId="1059" totalsRowDxfId="1058">
      <totalsRowFormula>-RC7+$AX$7</totalsRowFormula>
    </tableColumn>
    <tableColumn id="472" xr3:uid="{085DA033-0891-42A4-BA34-75000C044F9B}" uniqueName="472" name="Column472" totalsRowFunction="custom" queryTableFieldId="472" dataDxfId="1057" totalsRowDxfId="1056">
      <totalsRowFormula>-RD7+$AX$7</totalsRowFormula>
    </tableColumn>
    <tableColumn id="473" xr3:uid="{257D373C-AA5A-44E8-9B39-088CE9781386}" uniqueName="473" name="Column473" totalsRowFunction="custom" queryTableFieldId="473" dataDxfId="1055" totalsRowDxfId="1054">
      <totalsRowFormula>-RE7+$AX$7</totalsRowFormula>
    </tableColumn>
    <tableColumn id="474" xr3:uid="{96150433-C81D-4671-B6C4-DE05C804D130}" uniqueName="474" name="Column474" totalsRowFunction="custom" queryTableFieldId="474" dataDxfId="1053" totalsRowDxfId="1052">
      <totalsRowFormula>-RF7+$AX$7</totalsRowFormula>
    </tableColumn>
    <tableColumn id="475" xr3:uid="{45B573E7-0A49-48D7-8D17-9BD1ED3F2088}" uniqueName="475" name="Column475" totalsRowFunction="custom" queryTableFieldId="475" dataDxfId="1051" totalsRowDxfId="1050">
      <totalsRowFormula>-RG7+$AX$7</totalsRowFormula>
    </tableColumn>
    <tableColumn id="476" xr3:uid="{A7CF8560-7465-4803-BC12-C520798BFD22}" uniqueName="476" name="Column476" totalsRowFunction="custom" queryTableFieldId="476" dataDxfId="1049" totalsRowDxfId="1048">
      <totalsRowFormula>-RH7+$AX$7</totalsRowFormula>
    </tableColumn>
    <tableColumn id="477" xr3:uid="{8A98F41B-60AB-4315-BF6A-2E4710F23464}" uniqueName="477" name="Column477" totalsRowFunction="custom" queryTableFieldId="477" dataDxfId="1047" totalsRowDxfId="1046">
      <totalsRowFormula>-RI7+$AX$7</totalsRowFormula>
    </tableColumn>
    <tableColumn id="478" xr3:uid="{D1092B85-CD87-463E-A0C8-51252BD98692}" uniqueName="478" name="Column478" totalsRowFunction="custom" queryTableFieldId="478" dataDxfId="1045" totalsRowDxfId="1044">
      <totalsRowFormula>-RJ7+$AX$7</totalsRowFormula>
    </tableColumn>
    <tableColumn id="479" xr3:uid="{7E6BDBA0-FBFD-4CEA-952B-782C1EC381FF}" uniqueName="479" name="Column479" totalsRowFunction="custom" queryTableFieldId="479" dataDxfId="1043" totalsRowDxfId="1042">
      <totalsRowFormula>-RK7+$AX$7</totalsRowFormula>
    </tableColumn>
    <tableColumn id="480" xr3:uid="{BEBDE325-18A7-45A1-9984-67C50EB7540A}" uniqueName="480" name="Column480" totalsRowFunction="custom" queryTableFieldId="480" dataDxfId="1041" totalsRowDxfId="1040">
      <totalsRowFormula>-RL7+$AX$7</totalsRowFormula>
    </tableColumn>
    <tableColumn id="481" xr3:uid="{8509DB15-8BD6-4E0A-B623-FD8C7C6CA282}" uniqueName="481" name="Column481" totalsRowFunction="custom" queryTableFieldId="481" dataDxfId="1039" totalsRowDxfId="1038">
      <totalsRowFormula>-RM7+$AX$7</totalsRowFormula>
    </tableColumn>
    <tableColumn id="482" xr3:uid="{4270E571-7735-42C2-A9B9-DC1897D93F2B}" uniqueName="482" name="Column482" totalsRowFunction="custom" queryTableFieldId="482" dataDxfId="1037" totalsRowDxfId="1036">
      <totalsRowFormula>-RN7+$AX$7</totalsRowFormula>
    </tableColumn>
    <tableColumn id="483" xr3:uid="{B6F74A5D-60A0-4998-9CFA-F270BC948623}" uniqueName="483" name="Column483" totalsRowFunction="custom" queryTableFieldId="483" dataDxfId="1035" totalsRowDxfId="1034">
      <totalsRowFormula>-RO7+$AX$7</totalsRowFormula>
    </tableColumn>
    <tableColumn id="484" xr3:uid="{F7969388-BEF3-4510-BDA5-AA71DBB93011}" uniqueName="484" name="Column484" totalsRowFunction="custom" queryTableFieldId="484" dataDxfId="1033" totalsRowDxfId="1032">
      <totalsRowFormula>-RP7+$AX$7</totalsRowFormula>
    </tableColumn>
    <tableColumn id="485" xr3:uid="{786521D6-2324-4026-89DF-8CDEC9DE4FEC}" uniqueName="485" name="Column485" totalsRowFunction="custom" queryTableFieldId="485" dataDxfId="1031" totalsRowDxfId="1030">
      <totalsRowFormula>-RQ7+$AX$7</totalsRowFormula>
    </tableColumn>
    <tableColumn id="486" xr3:uid="{0FAA530E-6B78-4FE5-BC3F-BF0CC649E20C}" uniqueName="486" name="Column486" totalsRowFunction="custom" queryTableFieldId="486" dataDxfId="1029" totalsRowDxfId="1028">
      <totalsRowFormula>-RR7+$AX$7</totalsRowFormula>
    </tableColumn>
    <tableColumn id="487" xr3:uid="{AE7420AA-4A0C-4966-A56B-8A02BA28D84E}" uniqueName="487" name="Column487" totalsRowFunction="custom" queryTableFieldId="487" dataDxfId="1027" totalsRowDxfId="1026">
      <totalsRowFormula>-RS7+$AX$7</totalsRowFormula>
    </tableColumn>
    <tableColumn id="488" xr3:uid="{B565ED47-2942-4354-B074-8A7F82CF59CF}" uniqueName="488" name="Column488" totalsRowFunction="custom" queryTableFieldId="488" dataDxfId="1025" totalsRowDxfId="1024">
      <totalsRowFormula>-RT7+$AX$7</totalsRowFormula>
    </tableColumn>
    <tableColumn id="489" xr3:uid="{90D0828A-8687-4525-9716-AA36141C21AB}" uniqueName="489" name="Column489" totalsRowFunction="custom" queryTableFieldId="489" dataDxfId="1023" totalsRowDxfId="1022">
      <totalsRowFormula>-RU7+$AX$7</totalsRowFormula>
    </tableColumn>
    <tableColumn id="490" xr3:uid="{AEE02FE5-8865-4267-8331-7E21A9EB7263}" uniqueName="490" name="Column490" totalsRowFunction="custom" queryTableFieldId="490" dataDxfId="1021" totalsRowDxfId="1020">
      <totalsRowFormula>-RV7+$AX$7</totalsRowFormula>
    </tableColumn>
    <tableColumn id="491" xr3:uid="{0ACF9C14-4522-4BE2-9237-35ED5E8A5A80}" uniqueName="491" name="Column491" totalsRowFunction="custom" queryTableFieldId="491" dataDxfId="1019" totalsRowDxfId="1018">
      <totalsRowFormula>-RW7+$AX$7</totalsRowFormula>
    </tableColumn>
    <tableColumn id="492" xr3:uid="{D9969BD3-9D1F-45F6-9299-D6779AFAC2FF}" uniqueName="492" name="Column492" totalsRowFunction="custom" queryTableFieldId="492" dataDxfId="1017" totalsRowDxfId="1016">
      <totalsRowFormula>-RX7+$AX$7</totalsRowFormula>
    </tableColumn>
    <tableColumn id="493" xr3:uid="{8F9A8D40-4031-45FA-90C5-C44A497D7FBD}" uniqueName="493" name="Column493" totalsRowFunction="custom" queryTableFieldId="493" dataDxfId="1015" totalsRowDxfId="1014">
      <totalsRowFormula>-RY7+$AX$7</totalsRowFormula>
    </tableColumn>
    <tableColumn id="494" xr3:uid="{72D02355-975B-4FF0-BB57-784E68974AB2}" uniqueName="494" name="Column494" totalsRowFunction="custom" queryTableFieldId="494" dataDxfId="1013" totalsRowDxfId="1012">
      <totalsRowFormula>-RZ7+$AX$7</totalsRowFormula>
    </tableColumn>
    <tableColumn id="495" xr3:uid="{8D753C52-C27C-4DE9-8EC0-1397E30B13CE}" uniqueName="495" name="Column495" totalsRowFunction="custom" queryTableFieldId="495" dataDxfId="1011" totalsRowDxfId="1010">
      <totalsRowFormula>-SA7+$AX$7</totalsRowFormula>
    </tableColumn>
    <tableColumn id="496" xr3:uid="{3C4C2FDA-F2D8-4B29-BF7B-3EF21B08F924}" uniqueName="496" name="Column496" totalsRowFunction="custom" queryTableFieldId="496" dataDxfId="1009" totalsRowDxfId="1008">
      <totalsRowFormula>-SB7+$AX$7</totalsRowFormula>
    </tableColumn>
    <tableColumn id="497" xr3:uid="{EEBF98B3-2E68-4324-B72B-02077FDB2525}" uniqueName="497" name="Column497" totalsRowFunction="custom" queryTableFieldId="497" dataDxfId="1007" totalsRowDxfId="1006">
      <totalsRowFormula>-SC7+$AX$7</totalsRowFormula>
    </tableColumn>
    <tableColumn id="498" xr3:uid="{D025326A-7B1F-42BF-8D96-CB0E94E7BBE8}" uniqueName="498" name="Column498" totalsRowFunction="custom" queryTableFieldId="498" dataDxfId="1005" totalsRowDxfId="1004">
      <totalsRowFormula>-SD7+$AX$7</totalsRowFormula>
    </tableColumn>
    <tableColumn id="499" xr3:uid="{521C0E0E-51B0-4C38-838F-C9AACC872404}" uniqueName="499" name="Column499" totalsRowFunction="custom" queryTableFieldId="499" dataDxfId="1003" totalsRowDxfId="1002">
      <totalsRowFormula>-SE7+$AX$7</totalsRowFormula>
    </tableColumn>
    <tableColumn id="500" xr3:uid="{8303BE1C-DD7E-4843-94B3-23352600F50D}" uniqueName="500" name="Column500" totalsRowFunction="custom" queryTableFieldId="500" dataDxfId="1001" totalsRowDxfId="1000">
      <totalsRowFormula>-SF7+$AX$7</totalsRowFormula>
    </tableColumn>
    <tableColumn id="501" xr3:uid="{E0DE05CB-8782-41A3-B660-78EA6A43DF13}" uniqueName="501" name="Column501" totalsRowFunction="custom" queryTableFieldId="501" dataDxfId="999" totalsRowDxfId="998">
      <totalsRowFormula>-SG7+$AX$7</totalsRowFormula>
    </tableColumn>
    <tableColumn id="502" xr3:uid="{781920C9-D716-4B94-B4A4-8EF5675036B5}" uniqueName="502" name="Column502" totalsRowFunction="custom" queryTableFieldId="502" dataDxfId="997" totalsRowDxfId="996">
      <totalsRowFormula>-SH7+$AX$7</totalsRowFormula>
    </tableColumn>
    <tableColumn id="503" xr3:uid="{2028FA48-BA20-4D88-8AE3-74E0A122374C}" uniqueName="503" name="Column503" totalsRowFunction="custom" queryTableFieldId="503" dataDxfId="995" totalsRowDxfId="994">
      <totalsRowFormula>-SI7+$AX$7</totalsRowFormula>
    </tableColumn>
    <tableColumn id="504" xr3:uid="{D786DF38-DF30-41CE-8F34-C3AF18DE7461}" uniqueName="504" name="Column504" totalsRowFunction="custom" queryTableFieldId="504" dataDxfId="993" totalsRowDxfId="992">
      <totalsRowFormula>-SJ7+$AX$7</totalsRowFormula>
    </tableColumn>
    <tableColumn id="505" xr3:uid="{DFE17409-E791-4FC4-9C4E-6152A9A27041}" uniqueName="505" name="Column505" totalsRowFunction="custom" queryTableFieldId="505" dataDxfId="991" totalsRowDxfId="990">
      <totalsRowFormula>-SK7+$AX$7</totalsRowFormula>
    </tableColumn>
    <tableColumn id="506" xr3:uid="{BDC781CC-A5B1-477B-B47F-99A7FF3A178D}" uniqueName="506" name="Column506" totalsRowFunction="custom" queryTableFieldId="506" dataDxfId="989" totalsRowDxfId="988">
      <totalsRowFormula>-SL7+$AX$7</totalsRowFormula>
    </tableColumn>
    <tableColumn id="507" xr3:uid="{DF2AAF6A-0D74-4E1D-8BB5-9AF9B8824B30}" uniqueName="507" name="Column507" totalsRowFunction="custom" queryTableFieldId="507" dataDxfId="987" totalsRowDxfId="986">
      <totalsRowFormula>-SM7+$AX$7</totalsRowFormula>
    </tableColumn>
    <tableColumn id="508" xr3:uid="{FEA60B35-5D00-488F-9922-AA4D57708B9E}" uniqueName="508" name="Column508" totalsRowFunction="custom" queryTableFieldId="508" dataDxfId="985" totalsRowDxfId="984">
      <totalsRowFormula>-SN7+$AX$7</totalsRowFormula>
    </tableColumn>
    <tableColumn id="509" xr3:uid="{B812B9ED-BB01-4930-AACA-A8009F4DA8B6}" uniqueName="509" name="Column509" totalsRowFunction="custom" queryTableFieldId="509" dataDxfId="983" totalsRowDxfId="982">
      <totalsRowFormula>-SO7+$AX$7</totalsRowFormula>
    </tableColumn>
    <tableColumn id="510" xr3:uid="{C14C16DF-5887-45EB-9A15-956433B40007}" uniqueName="510" name="Column510" totalsRowFunction="custom" queryTableFieldId="510" dataDxfId="981" totalsRowDxfId="980">
      <totalsRowFormula>-SP7+$AX$7</totalsRowFormula>
    </tableColumn>
    <tableColumn id="511" xr3:uid="{8559F495-1E8F-4477-B053-BB79B4A56028}" uniqueName="511" name="Column511" totalsRowFunction="custom" queryTableFieldId="511" dataDxfId="979" totalsRowDxfId="978">
      <totalsRowFormula>-SQ7+$AX$7</totalsRowFormula>
    </tableColumn>
    <tableColumn id="512" xr3:uid="{1D63D2D7-9D24-4F0F-8366-6DEEDA21CD07}" uniqueName="512" name="Column512" totalsRowFunction="custom" queryTableFieldId="512" dataDxfId="977" totalsRowDxfId="976">
      <totalsRowFormula>-SR7+$AX$7</totalsRowFormula>
    </tableColumn>
    <tableColumn id="513" xr3:uid="{BD905E6A-AF90-4C22-AA8D-D36E2D7054A5}" uniqueName="513" name="Column513" totalsRowFunction="custom" queryTableFieldId="513" dataDxfId="975" totalsRowDxfId="974">
      <totalsRowFormula>-SS7+$AX$7</totalsRowFormula>
    </tableColumn>
    <tableColumn id="514" xr3:uid="{B8A60230-C57D-427A-BB8D-BA59A03C2497}" uniqueName="514" name="Column514" totalsRowFunction="custom" queryTableFieldId="514" dataDxfId="973" totalsRowDxfId="972">
      <totalsRowFormula>-ST7+$AX$7</totalsRowFormula>
    </tableColumn>
    <tableColumn id="515" xr3:uid="{0DC3A959-B914-4ED4-A4B7-96D854C299B9}" uniqueName="515" name="Column515" totalsRowFunction="custom" queryTableFieldId="515" dataDxfId="971" totalsRowDxfId="970">
      <totalsRowFormula>-SU7+$AX$7</totalsRowFormula>
    </tableColumn>
    <tableColumn id="516" xr3:uid="{56BA5C54-1CDC-4E0B-A27E-4C33FE0F162B}" uniqueName="516" name="Column516" totalsRowFunction="custom" queryTableFieldId="516" dataDxfId="969" totalsRowDxfId="968">
      <totalsRowFormula>-SV7+$AX$7</totalsRowFormula>
    </tableColumn>
    <tableColumn id="517" xr3:uid="{55C5D7FD-F4F2-4D18-BD6C-FE8C51FBA2DA}" uniqueName="517" name="Column517" totalsRowFunction="custom" queryTableFieldId="517" dataDxfId="967" totalsRowDxfId="966">
      <totalsRowFormula>-SW7+$AX$7</totalsRowFormula>
    </tableColumn>
    <tableColumn id="518" xr3:uid="{CED99A79-CE75-418A-9A66-DB195ABAD8CB}" uniqueName="518" name="Column518" totalsRowFunction="custom" queryTableFieldId="518" dataDxfId="965" totalsRowDxfId="964">
      <totalsRowFormula>-SX7+$AX$7</totalsRowFormula>
    </tableColumn>
    <tableColumn id="519" xr3:uid="{04D32434-4BFA-40DB-A419-B5427D98ACC6}" uniqueName="519" name="Column519" totalsRowFunction="custom" queryTableFieldId="519" dataDxfId="963" totalsRowDxfId="962">
      <totalsRowFormula>-SY7+$AX$7</totalsRowFormula>
    </tableColumn>
    <tableColumn id="520" xr3:uid="{C1959BAA-CB7C-4FB9-816A-249AFBA9696B}" uniqueName="520" name="Column520" totalsRowFunction="custom" queryTableFieldId="520" dataDxfId="961" totalsRowDxfId="960">
      <totalsRowFormula>-SZ7+$AX$7</totalsRowFormula>
    </tableColumn>
    <tableColumn id="521" xr3:uid="{041F5304-8F25-44E4-B16A-DA93504A5893}" uniqueName="521" name="Column521" totalsRowFunction="custom" queryTableFieldId="521" dataDxfId="959" totalsRowDxfId="958">
      <totalsRowFormula>-TA7+$AX$7</totalsRowFormula>
    </tableColumn>
    <tableColumn id="522" xr3:uid="{F88B7770-4715-4CB0-B0A9-3499146D5A1C}" uniqueName="522" name="Column522" totalsRowFunction="custom" queryTableFieldId="522" dataDxfId="957" totalsRowDxfId="956">
      <totalsRowFormula>-TB7+$AX$7</totalsRowFormula>
    </tableColumn>
    <tableColumn id="523" xr3:uid="{32260286-8C77-46CA-B879-817DF21BBBFB}" uniqueName="523" name="Column523" totalsRowFunction="custom" queryTableFieldId="523" dataDxfId="955" totalsRowDxfId="954">
      <totalsRowFormula>-TC7+$AX$7</totalsRowFormula>
    </tableColumn>
    <tableColumn id="524" xr3:uid="{72A405E8-F40F-46D0-A04D-47E6BBBBE0E8}" uniqueName="524" name="Column524" totalsRowFunction="custom" queryTableFieldId="524" dataDxfId="953" totalsRowDxfId="952">
      <totalsRowFormula>-TD7+$AX$7</totalsRowFormula>
    </tableColumn>
    <tableColumn id="525" xr3:uid="{D81EBFA9-6053-4140-9BC2-2DBF38F822DC}" uniqueName="525" name="Column525" totalsRowFunction="custom" queryTableFieldId="525" dataDxfId="951" totalsRowDxfId="950">
      <totalsRowFormula>-TE7+$AX$7</totalsRowFormula>
    </tableColumn>
    <tableColumn id="526" xr3:uid="{5EE3A8C4-D2FE-49B4-9F0E-F81F3C017030}" uniqueName="526" name="Column526" totalsRowFunction="custom" queryTableFieldId="526" dataDxfId="949" totalsRowDxfId="948">
      <totalsRowFormula>-TF7+$AX$7</totalsRowFormula>
    </tableColumn>
    <tableColumn id="527" xr3:uid="{65F29637-04FB-45DA-BBF7-55B3B9E306AF}" uniqueName="527" name="Column527" totalsRowFunction="custom" queryTableFieldId="527" dataDxfId="947" totalsRowDxfId="946">
      <totalsRowFormula>-TG7+$AX$7</totalsRowFormula>
    </tableColumn>
    <tableColumn id="528" xr3:uid="{18BD18CC-DC73-479A-966D-D31533D8727E}" uniqueName="528" name="Column528" totalsRowFunction="custom" queryTableFieldId="528" dataDxfId="945" totalsRowDxfId="944">
      <totalsRowFormula>-TH7+$AX$7</totalsRowFormula>
    </tableColumn>
    <tableColumn id="529" xr3:uid="{0E273F88-CED0-4B42-99C8-2DC8E3111EDB}" uniqueName="529" name="Column529" totalsRowFunction="custom" queryTableFieldId="529" dataDxfId="943" totalsRowDxfId="942">
      <totalsRowFormula>-TI7+$AX$7</totalsRowFormula>
    </tableColumn>
    <tableColumn id="530" xr3:uid="{D5575CC1-801B-41F6-878C-30736F155575}" uniqueName="530" name="Column530" totalsRowFunction="custom" queryTableFieldId="530" dataDxfId="941" totalsRowDxfId="940">
      <totalsRowFormula>-TJ7+$AX$7</totalsRowFormula>
    </tableColumn>
    <tableColumn id="531" xr3:uid="{A2115BD7-A429-45BB-9984-8FAA1EED6C3F}" uniqueName="531" name="Column531" totalsRowFunction="custom" queryTableFieldId="531" dataDxfId="939" totalsRowDxfId="938">
      <totalsRowFormula>-TK7+$AX$7</totalsRowFormula>
    </tableColumn>
    <tableColumn id="532" xr3:uid="{CEA572F8-6F26-4F9D-9938-31023F1062F2}" uniqueName="532" name="Column532" totalsRowFunction="custom" queryTableFieldId="532" dataDxfId="937" totalsRowDxfId="936">
      <totalsRowFormula>-TL7+$AX$7</totalsRowFormula>
    </tableColumn>
    <tableColumn id="533" xr3:uid="{3CB3417A-8201-4132-AA5F-63E15D32B404}" uniqueName="533" name="Column533" totalsRowFunction="custom" queryTableFieldId="533" dataDxfId="935" totalsRowDxfId="934">
      <totalsRowFormula>-TM7+$AX$7</totalsRowFormula>
    </tableColumn>
    <tableColumn id="534" xr3:uid="{4250218F-8461-4D38-B897-6DA7C8D8850F}" uniqueName="534" name="Column534" totalsRowFunction="custom" queryTableFieldId="534" dataDxfId="933" totalsRowDxfId="932">
      <totalsRowFormula>-TN7+$AX$7</totalsRowFormula>
    </tableColumn>
    <tableColumn id="535" xr3:uid="{C834BE3B-559B-40CB-ADC4-26D22DB0764B}" uniqueName="535" name="Column535" totalsRowFunction="custom" queryTableFieldId="535" dataDxfId="931" totalsRowDxfId="930">
      <totalsRowFormula>-TO7+$AX$7</totalsRowFormula>
    </tableColumn>
    <tableColumn id="536" xr3:uid="{750BB48E-F24B-4ACC-9B65-60AAEA174366}" uniqueName="536" name="Column536" totalsRowFunction="custom" queryTableFieldId="536" dataDxfId="929" totalsRowDxfId="928">
      <totalsRowFormula>-TP7+$AX$7</totalsRowFormula>
    </tableColumn>
    <tableColumn id="537" xr3:uid="{93BA770E-54A7-4B01-B5A1-649E60DDF358}" uniqueName="537" name="Column537" totalsRowFunction="custom" queryTableFieldId="537" dataDxfId="927" totalsRowDxfId="926">
      <totalsRowFormula>-TQ7+$AX$7</totalsRowFormula>
    </tableColumn>
    <tableColumn id="538" xr3:uid="{BD560CE9-C7F1-4EEC-88D3-30F4DAACF1DD}" uniqueName="538" name="Column538" totalsRowFunction="custom" queryTableFieldId="538" dataDxfId="925" totalsRowDxfId="924">
      <totalsRowFormula>-TR7+$AX$7</totalsRowFormula>
    </tableColumn>
    <tableColumn id="539" xr3:uid="{C0DD9E50-A854-4A39-BD3F-BFF6D50B8C30}" uniqueName="539" name="Column539" totalsRowFunction="custom" queryTableFieldId="539" dataDxfId="923" totalsRowDxfId="922">
      <totalsRowFormula>-TS7+$AX$7</totalsRowFormula>
    </tableColumn>
    <tableColumn id="540" xr3:uid="{B8D121C4-FBE7-4F64-8C48-BBE5535BF716}" uniqueName="540" name="Column540" totalsRowFunction="custom" queryTableFieldId="540" dataDxfId="921" totalsRowDxfId="920">
      <totalsRowFormula>-TT7+$AX$7</totalsRowFormula>
    </tableColumn>
    <tableColumn id="541" xr3:uid="{B53C3842-D186-46C3-9CAB-CFD3E96A066E}" uniqueName="541" name="Column541" totalsRowFunction="custom" queryTableFieldId="541" dataDxfId="919" totalsRowDxfId="918">
      <totalsRowFormula>-TU7+$AX$7</totalsRowFormula>
    </tableColumn>
    <tableColumn id="542" xr3:uid="{4F5F9C79-D9A8-4B47-A699-4AF691A8C7A0}" uniqueName="542" name="Column542" totalsRowFunction="custom" queryTableFieldId="542" dataDxfId="917" totalsRowDxfId="916">
      <totalsRowFormula>-TV7+$AX$7</totalsRowFormula>
    </tableColumn>
    <tableColumn id="543" xr3:uid="{F05F72F8-9E15-497C-BC41-D93499A883D8}" uniqueName="543" name="Column543" totalsRowFunction="custom" queryTableFieldId="543" dataDxfId="915" totalsRowDxfId="914">
      <totalsRowFormula>-TW7+$AX$7</totalsRowFormula>
    </tableColumn>
    <tableColumn id="544" xr3:uid="{7066B885-9CB1-45F5-93F1-EAA140D67B76}" uniqueName="544" name="Column544" totalsRowFunction="custom" queryTableFieldId="544" dataDxfId="913" totalsRowDxfId="912">
      <totalsRowFormula>-TX7+$AX$7</totalsRowFormula>
    </tableColumn>
    <tableColumn id="545" xr3:uid="{3ED92E07-E26C-4015-95F9-22F8F02AE970}" uniqueName="545" name="Column545" totalsRowFunction="custom" queryTableFieldId="545" dataDxfId="911" totalsRowDxfId="910">
      <totalsRowFormula>-TY7+$AX$7</totalsRowFormula>
    </tableColumn>
    <tableColumn id="546" xr3:uid="{E6FCCCC2-7F87-4388-B53E-7902DC0B3279}" uniqueName="546" name="Column546" totalsRowFunction="custom" queryTableFieldId="546" dataDxfId="909" totalsRowDxfId="908">
      <totalsRowFormula>-TZ7+$AX$7</totalsRowFormula>
    </tableColumn>
    <tableColumn id="547" xr3:uid="{D587423A-D853-4BF0-A400-D2256139A6AA}" uniqueName="547" name="Column547" totalsRowFunction="custom" queryTableFieldId="547" dataDxfId="907" totalsRowDxfId="906">
      <totalsRowFormula>-UA7+$AX$7</totalsRowFormula>
    </tableColumn>
    <tableColumn id="548" xr3:uid="{6DA60812-00D4-475B-BE12-DB37F08DADB1}" uniqueName="548" name="Column548" totalsRowFunction="custom" queryTableFieldId="548" dataDxfId="905" totalsRowDxfId="904">
      <totalsRowFormula>-UB7+$AX$7</totalsRowFormula>
    </tableColumn>
    <tableColumn id="549" xr3:uid="{6FED3705-BD16-43AE-8793-D74BBAE6DD20}" uniqueName="549" name="Column549" totalsRowFunction="custom" queryTableFieldId="549" dataDxfId="903" totalsRowDxfId="902">
      <totalsRowFormula>-UC7+$AX$7</totalsRowFormula>
    </tableColumn>
    <tableColumn id="550" xr3:uid="{F38888C0-6019-464D-BFC2-1C924161A06D}" uniqueName="550" name="Column550" totalsRowFunction="custom" queryTableFieldId="550" dataDxfId="901" totalsRowDxfId="900">
      <totalsRowFormula>-UD7+$AX$7</totalsRowFormula>
    </tableColumn>
    <tableColumn id="551" xr3:uid="{E9C66621-BBB7-4236-BEA4-4F0C0D702D12}" uniqueName="551" name="Column551" totalsRowFunction="custom" queryTableFieldId="551" dataDxfId="899" totalsRowDxfId="898">
      <totalsRowFormula>-UE7+$AX$7</totalsRowFormula>
    </tableColumn>
    <tableColumn id="552" xr3:uid="{1D98F412-A196-4404-8663-9EA8221DDF47}" uniqueName="552" name="Column552" totalsRowFunction="custom" queryTableFieldId="552" dataDxfId="897" totalsRowDxfId="896">
      <totalsRowFormula>-UF7+$AX$7</totalsRowFormula>
    </tableColumn>
    <tableColumn id="553" xr3:uid="{05A9872A-A06F-499E-BB4E-1BBD9F3E2403}" uniqueName="553" name="Column553" totalsRowFunction="custom" queryTableFieldId="553" dataDxfId="895" totalsRowDxfId="894">
      <totalsRowFormula>-UG7+$AX$7</totalsRowFormula>
    </tableColumn>
    <tableColumn id="554" xr3:uid="{94ACD7F0-7277-45A8-893B-3FCC2901193D}" uniqueName="554" name="Column554" totalsRowFunction="custom" queryTableFieldId="554" dataDxfId="893" totalsRowDxfId="892">
      <totalsRowFormula>-UH7+$AX$7</totalsRowFormula>
    </tableColumn>
    <tableColumn id="555" xr3:uid="{CE25F09D-8603-4F1B-95F4-6AF7CEB73BB0}" uniqueName="555" name="Column555" totalsRowFunction="custom" queryTableFieldId="555" dataDxfId="891" totalsRowDxfId="890">
      <totalsRowFormula>-UI7+$AX$7</totalsRowFormula>
    </tableColumn>
    <tableColumn id="556" xr3:uid="{CE2E852D-CF75-486A-A364-EFF7F36D7D1F}" uniqueName="556" name="Column556" totalsRowFunction="custom" queryTableFieldId="556" dataDxfId="889" totalsRowDxfId="888">
      <totalsRowFormula>-UJ7+$AX$7</totalsRowFormula>
    </tableColumn>
    <tableColumn id="557" xr3:uid="{C70BE74E-A60D-4E28-B4F4-C3DF27138B99}" uniqueName="557" name="Column557" totalsRowFunction="custom" queryTableFieldId="557" dataDxfId="887" totalsRowDxfId="886">
      <totalsRowFormula>-UK7+$AX$7</totalsRowFormula>
    </tableColumn>
    <tableColumn id="558" xr3:uid="{C46848CE-4752-435B-B13C-477252BF487E}" uniqueName="558" name="Column558" totalsRowFunction="custom" queryTableFieldId="558" dataDxfId="885" totalsRowDxfId="884">
      <totalsRowFormula>-UL7+$AX$7</totalsRowFormula>
    </tableColumn>
    <tableColumn id="559" xr3:uid="{FF553D05-F15F-4B8D-B9FD-757274836AFE}" uniqueName="559" name="Column559" totalsRowFunction="custom" queryTableFieldId="559" dataDxfId="883" totalsRowDxfId="882">
      <totalsRowFormula>-UM7+$AX$7</totalsRowFormula>
    </tableColumn>
    <tableColumn id="560" xr3:uid="{34661E37-624D-4615-9D4B-5C3451E1A7D0}" uniqueName="560" name="Column560" totalsRowFunction="custom" queryTableFieldId="560" dataDxfId="881" totalsRowDxfId="880">
      <totalsRowFormula>-UN7+$AX$7</totalsRowFormula>
    </tableColumn>
    <tableColumn id="561" xr3:uid="{AF229EC1-7584-4E3A-BF1E-001E7BC9D6D9}" uniqueName="561" name="Column561" totalsRowFunction="custom" queryTableFieldId="561" dataDxfId="879" totalsRowDxfId="878">
      <totalsRowFormula>-UO7+$AX$7</totalsRowFormula>
    </tableColumn>
    <tableColumn id="562" xr3:uid="{4E28484B-DBA2-4EE5-9F9B-57F35948AE9F}" uniqueName="562" name="Column562" totalsRowFunction="custom" queryTableFieldId="562" dataDxfId="877" totalsRowDxfId="876">
      <totalsRowFormula>-UP7+$AX$7</totalsRowFormula>
    </tableColumn>
    <tableColumn id="563" xr3:uid="{41EC5B73-0844-4EB2-BAF7-DA7B4CA3D8F9}" uniqueName="563" name="Column563" totalsRowFunction="custom" queryTableFieldId="563" dataDxfId="875" totalsRowDxfId="874">
      <totalsRowFormula>-UQ7+$AX$7</totalsRowFormula>
    </tableColumn>
    <tableColumn id="564" xr3:uid="{C7F9C598-89CB-49AB-BC89-F525F3CB3C49}" uniqueName="564" name="Column564" totalsRowFunction="custom" queryTableFieldId="564" dataDxfId="873" totalsRowDxfId="872">
      <totalsRowFormula>-UR7+$AX$7</totalsRowFormula>
    </tableColumn>
    <tableColumn id="565" xr3:uid="{25EDB955-EC21-416B-8447-1A9E2F27EF1A}" uniqueName="565" name="Column565" totalsRowFunction="custom" queryTableFieldId="565" dataDxfId="871" totalsRowDxfId="870">
      <totalsRowFormula>-US7+$AX$7</totalsRowFormula>
    </tableColumn>
    <tableColumn id="566" xr3:uid="{DC5D8A9B-22BA-480B-A723-CAB96201FC01}" uniqueName="566" name="Column566" totalsRowFunction="custom" queryTableFieldId="566" dataDxfId="869" totalsRowDxfId="868">
      <totalsRowFormula>-UT7+$AX$7</totalsRowFormula>
    </tableColumn>
    <tableColumn id="567" xr3:uid="{E5AD75DC-56CD-4CD7-A100-8C955CA8729E}" uniqueName="567" name="Column567" totalsRowFunction="custom" queryTableFieldId="567" dataDxfId="867" totalsRowDxfId="866">
      <totalsRowFormula>-UU7+$AX$7</totalsRowFormula>
    </tableColumn>
    <tableColumn id="568" xr3:uid="{1B75A892-C93F-485B-8811-0F19B4727E32}" uniqueName="568" name="Column568" totalsRowFunction="custom" queryTableFieldId="568" dataDxfId="865" totalsRowDxfId="864">
      <totalsRowFormula>-UV7+$AX$7</totalsRowFormula>
    </tableColumn>
    <tableColumn id="569" xr3:uid="{B677E1D7-3CFA-4339-98DA-B8941A4FB68A}" uniqueName="569" name="Column569" totalsRowFunction="custom" queryTableFieldId="569" dataDxfId="863" totalsRowDxfId="862">
      <totalsRowFormula>-UW7+$AX$7</totalsRowFormula>
    </tableColumn>
    <tableColumn id="570" xr3:uid="{61CED740-0107-458D-83C9-12B8D203071A}" uniqueName="570" name="Column570" totalsRowFunction="custom" queryTableFieldId="570" dataDxfId="861" totalsRowDxfId="860">
      <totalsRowFormula>-UX7+$AX$7</totalsRowFormula>
    </tableColumn>
    <tableColumn id="571" xr3:uid="{D48B44C6-A2E1-4409-A51F-8C9CE5052355}" uniqueName="571" name="Column571" totalsRowFunction="custom" queryTableFieldId="571" dataDxfId="859" totalsRowDxfId="858">
      <totalsRowFormula>-UY7+$AX$7</totalsRowFormula>
    </tableColumn>
    <tableColumn id="572" xr3:uid="{ECAEF33D-6C4B-42D0-AF33-C663BC1D82C0}" uniqueName="572" name="Column572" totalsRowFunction="custom" queryTableFieldId="572" dataDxfId="857" totalsRowDxfId="856">
      <totalsRowFormula>-UZ7+$AX$7</totalsRowFormula>
    </tableColumn>
    <tableColumn id="573" xr3:uid="{4A0A910A-BD69-4F73-B337-15AB2E0BA6D2}" uniqueName="573" name="Column573" totalsRowFunction="custom" queryTableFieldId="573" dataDxfId="855" totalsRowDxfId="854">
      <totalsRowFormula>-VA7+$AX$7</totalsRowFormula>
    </tableColumn>
    <tableColumn id="574" xr3:uid="{9A36ADFF-5D9E-46E3-B5C1-A5B8E3A93F69}" uniqueName="574" name="Column574" totalsRowFunction="custom" queryTableFieldId="574" dataDxfId="853" totalsRowDxfId="852">
      <totalsRowFormula>-VB7+$AX$7</totalsRowFormula>
    </tableColumn>
    <tableColumn id="575" xr3:uid="{AEE7EA70-BFDE-4E61-940E-3E7F87902915}" uniqueName="575" name="Column575" totalsRowFunction="custom" queryTableFieldId="575" dataDxfId="851" totalsRowDxfId="850">
      <totalsRowFormula>-VC7+$AX$7</totalsRowFormula>
    </tableColumn>
    <tableColumn id="576" xr3:uid="{1EC3DDAA-D9A8-4C41-9B6D-BFAF7BC233E9}" uniqueName="576" name="Column576" totalsRowFunction="custom" queryTableFieldId="576" dataDxfId="849" totalsRowDxfId="848">
      <totalsRowFormula>-VD7+$AX$7</totalsRowFormula>
    </tableColumn>
    <tableColumn id="577" xr3:uid="{15C043E7-BC1F-4C37-9B07-A99F48E0BF92}" uniqueName="577" name="Column577" totalsRowFunction="custom" queryTableFieldId="577" dataDxfId="847" totalsRowDxfId="846">
      <totalsRowFormula>-VE7+$AX$7</totalsRowFormula>
    </tableColumn>
    <tableColumn id="578" xr3:uid="{6083E831-4225-4878-A945-B2D9413BADAE}" uniqueName="578" name="Column578" totalsRowFunction="custom" queryTableFieldId="578" dataDxfId="845" totalsRowDxfId="844">
      <totalsRowFormula>-VF7+$AX$7</totalsRowFormula>
    </tableColumn>
    <tableColumn id="579" xr3:uid="{499455F5-624C-4752-995F-D141A1B6A100}" uniqueName="579" name="Column579" totalsRowFunction="custom" queryTableFieldId="579" dataDxfId="843" totalsRowDxfId="842">
      <totalsRowFormula>-VG7+$AX$7</totalsRowFormula>
    </tableColumn>
    <tableColumn id="580" xr3:uid="{48F57FAD-41C1-46BF-8D29-012FC8F2BD4A}" uniqueName="580" name="Column580" totalsRowFunction="custom" queryTableFieldId="580" dataDxfId="841" totalsRowDxfId="840">
      <totalsRowFormula>-VH7+$AX$7</totalsRowFormula>
    </tableColumn>
    <tableColumn id="581" xr3:uid="{6748A15B-3875-4494-801D-50430DF666B3}" uniqueName="581" name="Column581" totalsRowFunction="custom" queryTableFieldId="581" dataDxfId="839" totalsRowDxfId="838">
      <totalsRowFormula>-VI7+$AX$7</totalsRowFormula>
    </tableColumn>
    <tableColumn id="582" xr3:uid="{22E17437-B12A-4D81-8104-4CCE47DB2888}" uniqueName="582" name="Column582" totalsRowFunction="custom" queryTableFieldId="582" dataDxfId="837" totalsRowDxfId="836">
      <totalsRowFormula>-VJ7+$AX$7</totalsRowFormula>
    </tableColumn>
    <tableColumn id="583" xr3:uid="{459718C2-8436-40CC-92CE-2BB015E3D71E}" uniqueName="583" name="Column583" totalsRowFunction="custom" queryTableFieldId="583" dataDxfId="835" totalsRowDxfId="834">
      <totalsRowFormula>-VK7+$AX$7</totalsRowFormula>
    </tableColumn>
    <tableColumn id="584" xr3:uid="{FF77EE73-A736-42C9-8F16-2682C091CE4D}" uniqueName="584" name="Column584" totalsRowFunction="custom" queryTableFieldId="584" dataDxfId="833" totalsRowDxfId="832">
      <totalsRowFormula>-VL7+$AX$7</totalsRowFormula>
    </tableColumn>
    <tableColumn id="585" xr3:uid="{0D04E5B0-4274-4E1E-80F5-BD463ABFC1BA}" uniqueName="585" name="Column585" totalsRowFunction="custom" queryTableFieldId="585" dataDxfId="831" totalsRowDxfId="830">
      <totalsRowFormula>-VM7+$AX$7</totalsRowFormula>
    </tableColumn>
    <tableColumn id="586" xr3:uid="{67FECDC8-B717-4595-BF2D-C145211BAEC9}" uniqueName="586" name="Column586" totalsRowFunction="custom" queryTableFieldId="586" dataDxfId="829" totalsRowDxfId="828">
      <totalsRowFormula>-VN7+$AX$7</totalsRowFormula>
    </tableColumn>
    <tableColumn id="587" xr3:uid="{79D03FB5-D718-4F21-83F8-2570C052873C}" uniqueName="587" name="Column587" totalsRowFunction="custom" queryTableFieldId="587" dataDxfId="827" totalsRowDxfId="826">
      <totalsRowFormula>-VO7+$AX$7</totalsRowFormula>
    </tableColumn>
    <tableColumn id="588" xr3:uid="{70168E36-EEEF-45E8-A41C-B2AFE40D118C}" uniqueName="588" name="Column588" totalsRowFunction="custom" queryTableFieldId="588" dataDxfId="825" totalsRowDxfId="824">
      <totalsRowFormula>-VP7+$AX$7</totalsRowFormula>
    </tableColumn>
    <tableColumn id="589" xr3:uid="{983CEF5B-15C6-4859-9A51-26FADA7499D8}" uniqueName="589" name="Column589" totalsRowFunction="custom" queryTableFieldId="589" dataDxfId="823" totalsRowDxfId="822">
      <totalsRowFormula>-VQ7+$AX$7</totalsRowFormula>
    </tableColumn>
    <tableColumn id="590" xr3:uid="{93B2CC50-409F-4121-AD77-CCCE6A041CFE}" uniqueName="590" name="Column590" totalsRowFunction="custom" queryTableFieldId="590" dataDxfId="821" totalsRowDxfId="820">
      <totalsRowFormula>-VR7+$AX$7</totalsRowFormula>
    </tableColumn>
    <tableColumn id="591" xr3:uid="{9E271D23-8E7C-4B02-B3D7-4D393D95F985}" uniqueName="591" name="Column591" totalsRowFunction="custom" queryTableFieldId="591" dataDxfId="819" totalsRowDxfId="818">
      <totalsRowFormula>-VS7+$AX$7</totalsRowFormula>
    </tableColumn>
    <tableColumn id="592" xr3:uid="{4F57781E-2FB2-4515-8C66-4AA2E9526B19}" uniqueName="592" name="Column592" totalsRowFunction="custom" queryTableFieldId="592" dataDxfId="817" totalsRowDxfId="816">
      <totalsRowFormula>-VT7+$AX$7</totalsRowFormula>
    </tableColumn>
    <tableColumn id="593" xr3:uid="{F63B58F3-83E7-413C-91AF-06FA9959140D}" uniqueName="593" name="Column593" totalsRowFunction="custom" queryTableFieldId="593" dataDxfId="815" totalsRowDxfId="814">
      <totalsRowFormula>-VU7+$AX$7</totalsRowFormula>
    </tableColumn>
    <tableColumn id="594" xr3:uid="{75D06F9D-A77E-40BC-B2EF-8194D3E6B56B}" uniqueName="594" name="Column594" totalsRowFunction="custom" queryTableFieldId="594" dataDxfId="813" totalsRowDxfId="812">
      <totalsRowFormula>-VV7+$AX$7</totalsRowFormula>
    </tableColumn>
    <tableColumn id="595" xr3:uid="{3C0D3983-43F6-4804-85D6-4491FA13A54F}" uniqueName="595" name="Column595" totalsRowFunction="custom" queryTableFieldId="595" dataDxfId="811" totalsRowDxfId="810">
      <totalsRowFormula>-VW7+$AX$7</totalsRowFormula>
    </tableColumn>
    <tableColumn id="596" xr3:uid="{DD29210A-CF4A-4272-B9FA-EEE73F0FAEFD}" uniqueName="596" name="Column596" totalsRowFunction="custom" queryTableFieldId="596" dataDxfId="809" totalsRowDxfId="808">
      <totalsRowFormula>-VX7+$AX$7</totalsRowFormula>
    </tableColumn>
    <tableColumn id="597" xr3:uid="{1D0A5C35-6B76-448F-A64D-99A121BB63E5}" uniqueName="597" name="Column597" totalsRowFunction="custom" queryTableFieldId="597" dataDxfId="807" totalsRowDxfId="806">
      <totalsRowFormula>-VY7+$AX$7</totalsRowFormula>
    </tableColumn>
    <tableColumn id="598" xr3:uid="{A4A6D7B9-3E5A-4FBA-A8E3-3CB05F0FE738}" uniqueName="598" name="Column598" totalsRowFunction="custom" queryTableFieldId="598" dataDxfId="805" totalsRowDxfId="804">
      <totalsRowFormula>-VZ7+$AX$7</totalsRowFormula>
    </tableColumn>
    <tableColumn id="599" xr3:uid="{E7C1F60A-E4A7-405B-8443-49E8F173B570}" uniqueName="599" name="Column599" totalsRowFunction="custom" queryTableFieldId="599" dataDxfId="803" totalsRowDxfId="802">
      <totalsRowFormula>-WA7+$AX$7</totalsRowFormula>
    </tableColumn>
    <tableColumn id="600" xr3:uid="{CA711A8E-59DB-4742-A825-8DB95A2A3C1D}" uniqueName="600" name="Column600" totalsRowFunction="custom" queryTableFieldId="600" dataDxfId="801" totalsRowDxfId="800">
      <totalsRowFormula>-WB7+$AX$7</totalsRowFormula>
    </tableColumn>
    <tableColumn id="601" xr3:uid="{5996BF16-9706-4947-BDB4-4427816A4023}" uniqueName="601" name="Column601" totalsRowFunction="custom" queryTableFieldId="601" dataDxfId="799" totalsRowDxfId="798">
      <totalsRowFormula>-WC7+$AX$7</totalsRowFormula>
    </tableColumn>
    <tableColumn id="602" xr3:uid="{B0CD7A37-2624-42DF-86E7-76A74781B49D}" uniqueName="602" name="Column602" totalsRowFunction="custom" queryTableFieldId="602" dataDxfId="797" totalsRowDxfId="796">
      <totalsRowFormula>-WD7+$AX$7</totalsRowFormula>
    </tableColumn>
    <tableColumn id="603" xr3:uid="{4FBB3A02-E3A2-4DEA-A028-6AB571D255FC}" uniqueName="603" name="Column603" totalsRowFunction="custom" queryTableFieldId="603" dataDxfId="795" totalsRowDxfId="794">
      <totalsRowFormula>-WE7+$AX$7</totalsRowFormula>
    </tableColumn>
    <tableColumn id="604" xr3:uid="{A97A373B-A7E4-4E17-AB2E-78B136016C2A}" uniqueName="604" name="Column604" totalsRowFunction="custom" queryTableFieldId="604" dataDxfId="793" totalsRowDxfId="792">
      <totalsRowFormula>-WF7+$AX$7</totalsRowFormula>
    </tableColumn>
    <tableColumn id="605" xr3:uid="{86442B0A-3F2C-406A-8AA5-5D00B7E7BBED}" uniqueName="605" name="Column605" totalsRowFunction="custom" queryTableFieldId="605" dataDxfId="791" totalsRowDxfId="790">
      <totalsRowFormula>-WG7+$AX$7</totalsRowFormula>
    </tableColumn>
    <tableColumn id="606" xr3:uid="{0E31A436-36B5-4E28-93FB-960496E82B24}" uniqueName="606" name="Column606" totalsRowFunction="custom" queryTableFieldId="606" dataDxfId="789" totalsRowDxfId="788">
      <totalsRowFormula>-WH7+$AX$7</totalsRowFormula>
    </tableColumn>
    <tableColumn id="607" xr3:uid="{AD4F6A06-6072-41F1-95C8-599DBA01AA33}" uniqueName="607" name="Column607" totalsRowFunction="custom" queryTableFieldId="607" dataDxfId="787" totalsRowDxfId="786">
      <totalsRowFormula>-WI7+$AX$7</totalsRowFormula>
    </tableColumn>
    <tableColumn id="608" xr3:uid="{1B3E7D57-F9DB-47F2-BC1F-5A021797F38E}" uniqueName="608" name="Column608" totalsRowFunction="custom" queryTableFieldId="608" dataDxfId="785" totalsRowDxfId="784">
      <totalsRowFormula>-WJ7+$AX$7</totalsRowFormula>
    </tableColumn>
    <tableColumn id="609" xr3:uid="{E2E76778-D9FB-4C5C-9D99-88F1AB0B13AA}" uniqueName="609" name="Column609" totalsRowFunction="custom" queryTableFieldId="609" dataDxfId="783" totalsRowDxfId="782">
      <totalsRowFormula>-WK7+$AX$7</totalsRowFormula>
    </tableColumn>
    <tableColumn id="610" xr3:uid="{65EED8F5-7AD3-4DA7-832F-3C0CDBCCCA98}" uniqueName="610" name="Column610" totalsRowFunction="custom" queryTableFieldId="610" dataDxfId="781" totalsRowDxfId="780">
      <totalsRowFormula>-WL7+$AX$7</totalsRowFormula>
    </tableColumn>
    <tableColumn id="611" xr3:uid="{41CF3E23-0AB6-416A-9CD9-9B9966791D3A}" uniqueName="611" name="Column611" totalsRowFunction="custom" queryTableFieldId="611" dataDxfId="779" totalsRowDxfId="778">
      <totalsRowFormula>-WM7+$AX$7</totalsRowFormula>
    </tableColumn>
    <tableColumn id="612" xr3:uid="{71C639E8-721E-40CA-8682-882C55E6CE39}" uniqueName="612" name="Column612" totalsRowFunction="custom" queryTableFieldId="612" dataDxfId="777" totalsRowDxfId="776">
      <totalsRowFormula>-WN7+$AX$7</totalsRowFormula>
    </tableColumn>
    <tableColumn id="613" xr3:uid="{1C3531F2-6E36-409E-B23C-268684B8608C}" uniqueName="613" name="Column613" totalsRowFunction="custom" queryTableFieldId="613" dataDxfId="775" totalsRowDxfId="774">
      <totalsRowFormula>-WO7+$AX$7</totalsRowFormula>
    </tableColumn>
    <tableColumn id="614" xr3:uid="{8ECACD4E-8DF5-4972-A568-EFE1B97A7E4D}" uniqueName="614" name="Column614" totalsRowFunction="custom" queryTableFieldId="614" dataDxfId="773" totalsRowDxfId="772">
      <totalsRowFormula>-WP7+$AX$7</totalsRowFormula>
    </tableColumn>
    <tableColumn id="615" xr3:uid="{04A1B483-DFD2-41BB-801A-24A49F3CFB7C}" uniqueName="615" name="Column615" totalsRowFunction="custom" queryTableFieldId="615" dataDxfId="771" totalsRowDxfId="770">
      <totalsRowFormula>-WQ7+$AX$7</totalsRowFormula>
    </tableColumn>
    <tableColumn id="616" xr3:uid="{14495E9F-9D65-42FF-A3F6-97119585FFBB}" uniqueName="616" name="Column616" totalsRowFunction="custom" queryTableFieldId="616" dataDxfId="769" totalsRowDxfId="768">
      <totalsRowFormula>-WR7+$AX$7</totalsRowFormula>
    </tableColumn>
    <tableColumn id="617" xr3:uid="{1886C20A-F3B6-4C63-86F1-47D6BB257662}" uniqueName="617" name="Column617" totalsRowFunction="custom" queryTableFieldId="617" dataDxfId="767" totalsRowDxfId="766">
      <totalsRowFormula>-WS7+$AX$7</totalsRowFormula>
    </tableColumn>
    <tableColumn id="618" xr3:uid="{12171A90-E4E3-4110-9606-7997E6727FA0}" uniqueName="618" name="Column618" totalsRowFunction="custom" queryTableFieldId="618" dataDxfId="765" totalsRowDxfId="764">
      <totalsRowFormula>-WT7+$AX$7</totalsRowFormula>
    </tableColumn>
    <tableColumn id="619" xr3:uid="{92098337-DC6E-4A29-B6C3-F1EEE2209AAF}" uniqueName="619" name="Column619" totalsRowFunction="custom" queryTableFieldId="619" dataDxfId="763" totalsRowDxfId="762">
      <totalsRowFormula>-WU7+$AX$7</totalsRowFormula>
    </tableColumn>
    <tableColumn id="620" xr3:uid="{D8D0E99C-B9C9-4D90-8507-32FD463A11F6}" uniqueName="620" name="Column620" totalsRowFunction="custom" queryTableFieldId="620" dataDxfId="761" totalsRowDxfId="760">
      <totalsRowFormula>-WV7+$AX$7</totalsRowFormula>
    </tableColumn>
    <tableColumn id="621" xr3:uid="{089EBA04-A8BD-434E-BC66-8229C92B1AF5}" uniqueName="621" name="Column621" totalsRowFunction="custom" queryTableFieldId="621" dataDxfId="759" totalsRowDxfId="758">
      <totalsRowFormula>-WW7+$AX$7</totalsRowFormula>
    </tableColumn>
    <tableColumn id="622" xr3:uid="{85528FDD-BA15-4497-839F-2130CC294E84}" uniqueName="622" name="Column622" totalsRowFunction="custom" queryTableFieldId="622" dataDxfId="757" totalsRowDxfId="756">
      <totalsRowFormula>-WX7+$AX$7</totalsRowFormula>
    </tableColumn>
    <tableColumn id="623" xr3:uid="{94551522-BC86-4588-813D-A99402FE5255}" uniqueName="623" name="Column623" totalsRowFunction="custom" queryTableFieldId="623" dataDxfId="755" totalsRowDxfId="754">
      <totalsRowFormula>-WY7+$AX$7</totalsRowFormula>
    </tableColumn>
    <tableColumn id="624" xr3:uid="{8378F6E8-1405-45F5-9CE4-7E3DCFCCEECB}" uniqueName="624" name="Column624" totalsRowFunction="custom" queryTableFieldId="624" dataDxfId="753" totalsRowDxfId="752">
      <totalsRowFormula>-WZ7+$AX$7</totalsRowFormula>
    </tableColumn>
    <tableColumn id="625" xr3:uid="{C5BB5DA0-37EB-43CB-99DD-C3D823767268}" uniqueName="625" name="Column625" totalsRowFunction="custom" queryTableFieldId="625" dataDxfId="751" totalsRowDxfId="750">
      <totalsRowFormula>-XA7+$AX$7</totalsRowFormula>
    </tableColumn>
    <tableColumn id="626" xr3:uid="{BDBE5187-E6C5-4B76-B7CA-E993D87C68B7}" uniqueName="626" name="Column626" totalsRowFunction="custom" queryTableFieldId="626" dataDxfId="749" totalsRowDxfId="748">
      <totalsRowFormula>-XB7+$AX$7</totalsRowFormula>
    </tableColumn>
    <tableColumn id="627" xr3:uid="{0EFD1615-F232-4C24-80AC-BDF38B00A1BF}" uniqueName="627" name="Column627" totalsRowFunction="custom" queryTableFieldId="627" dataDxfId="747" totalsRowDxfId="746">
      <totalsRowFormula>-XC7+$AX$7</totalsRowFormula>
    </tableColumn>
    <tableColumn id="628" xr3:uid="{851B83B8-FBBA-46C0-9F30-FAE42E5F4FCD}" uniqueName="628" name="Column628" totalsRowFunction="custom" queryTableFieldId="628" dataDxfId="745" totalsRowDxfId="744">
      <totalsRowFormula>-XD7+$AX$7</totalsRowFormula>
    </tableColumn>
    <tableColumn id="629" xr3:uid="{8BEAD25B-C894-4C7B-9383-1759ADF52AA9}" uniqueName="629" name="Column629" totalsRowFunction="custom" queryTableFieldId="629" dataDxfId="743" totalsRowDxfId="742">
      <totalsRowFormula>-XE7+$AX$7</totalsRowFormula>
    </tableColumn>
    <tableColumn id="630" xr3:uid="{D7020F8A-6CA0-420B-BDDB-E7D2FF5C4ACE}" uniqueName="630" name="Column630" totalsRowFunction="custom" queryTableFieldId="630" dataDxfId="741" totalsRowDxfId="740">
      <totalsRowFormula>-XF7+$AX$7</totalsRowFormula>
    </tableColumn>
    <tableColumn id="631" xr3:uid="{A34E785F-DADF-4EAF-88F5-B1E3FDD03220}" uniqueName="631" name="Column631" totalsRowFunction="custom" queryTableFieldId="631" dataDxfId="739" totalsRowDxfId="738">
      <totalsRowFormula>-XG7+$AX$7</totalsRowFormula>
    </tableColumn>
    <tableColumn id="632" xr3:uid="{744AE84A-696C-40CA-880E-C6145A4646C5}" uniqueName="632" name="Column632" totalsRowFunction="custom" queryTableFieldId="632" dataDxfId="737" totalsRowDxfId="736">
      <totalsRowFormula>-XH7+$AX$7</totalsRowFormula>
    </tableColumn>
    <tableColumn id="633" xr3:uid="{ACF6DBDE-9C88-4067-80F3-DB3090F5B1A2}" uniqueName="633" name="Column633" totalsRowFunction="custom" queryTableFieldId="633" dataDxfId="735" totalsRowDxfId="734">
      <totalsRowFormula>-XI7+$AX$7</totalsRowFormula>
    </tableColumn>
    <tableColumn id="634" xr3:uid="{D047042B-3D28-40D1-B3BA-C1F796877817}" uniqueName="634" name="Column634" totalsRowFunction="custom" queryTableFieldId="634" dataDxfId="733" totalsRowDxfId="732">
      <totalsRowFormula>-XJ7+$AX$7</totalsRowFormula>
    </tableColumn>
    <tableColumn id="635" xr3:uid="{B25EECA6-F2BC-49EA-B6C3-674C019D5CA6}" uniqueName="635" name="Column635" totalsRowFunction="custom" queryTableFieldId="635" dataDxfId="731" totalsRowDxfId="730">
      <totalsRowFormula>-XK7+$AX$7</totalsRowFormula>
    </tableColumn>
    <tableColumn id="636" xr3:uid="{E4AFD481-C32C-4A55-851C-C55EF41A6670}" uniqueName="636" name="Column636" totalsRowFunction="custom" queryTableFieldId="636" dataDxfId="729" totalsRowDxfId="728">
      <totalsRowFormula>-XL7+$AX$7</totalsRowFormula>
    </tableColumn>
    <tableColumn id="637" xr3:uid="{95F87147-408C-4B17-B3C9-FA1B14F35926}" uniqueName="637" name="Column637" totalsRowFunction="custom" queryTableFieldId="637" dataDxfId="727" totalsRowDxfId="726">
      <totalsRowFormula>-XM7+$AX$7</totalsRowFormula>
    </tableColumn>
    <tableColumn id="638" xr3:uid="{D71C13FF-0216-47E3-A403-349EF43F4D1C}" uniqueName="638" name="Column638" totalsRowFunction="custom" queryTableFieldId="638" dataDxfId="725" totalsRowDxfId="724">
      <totalsRowFormula>-XN7+$AX$7</totalsRowFormula>
    </tableColumn>
    <tableColumn id="639" xr3:uid="{F9B2E228-FEAA-418F-8D6F-42A873AEDD64}" uniqueName="639" name="Column639" totalsRowFunction="custom" queryTableFieldId="639" dataDxfId="723" totalsRowDxfId="722">
      <totalsRowFormula>-XO7+$AX$7</totalsRowFormula>
    </tableColumn>
    <tableColumn id="640" xr3:uid="{AAE52095-406D-4028-8D3E-B172166646CE}" uniqueName="640" name="Column640" totalsRowFunction="custom" queryTableFieldId="640" dataDxfId="721" totalsRowDxfId="720">
      <totalsRowFormula>-XP7+$AX$7</totalsRowFormula>
    </tableColumn>
    <tableColumn id="641" xr3:uid="{30BE470E-8EE0-4010-81EF-29BA42570037}" uniqueName="641" name="Column641" totalsRowFunction="custom" queryTableFieldId="641" dataDxfId="719" totalsRowDxfId="718">
      <totalsRowFormula>-XQ7+$AX$7</totalsRowFormula>
    </tableColumn>
    <tableColumn id="642" xr3:uid="{8F2198A8-D75B-4C9B-BD3A-291339A80210}" uniqueName="642" name="Column642" totalsRowFunction="custom" queryTableFieldId="642" dataDxfId="717" totalsRowDxfId="716">
      <totalsRowFormula>-XR7+$AX$7</totalsRowFormula>
    </tableColumn>
    <tableColumn id="643" xr3:uid="{311F688E-2571-4A32-80C6-4960BE75A637}" uniqueName="643" name="Column643" totalsRowFunction="custom" queryTableFieldId="643" dataDxfId="715" totalsRowDxfId="714">
      <totalsRowFormula>-XS7+$AX$7</totalsRowFormula>
    </tableColumn>
    <tableColumn id="644" xr3:uid="{A09811BB-3787-4F50-A722-E00ABF784625}" uniqueName="644" name="Column644" totalsRowFunction="custom" queryTableFieldId="644" dataDxfId="713" totalsRowDxfId="712">
      <totalsRowFormula>-XT7+$AX$7</totalsRowFormula>
    </tableColumn>
    <tableColumn id="645" xr3:uid="{D3E2D744-2284-4C9C-BF3E-2B9DBF67FF1A}" uniqueName="645" name="Column645" totalsRowFunction="custom" queryTableFieldId="645" dataDxfId="711" totalsRowDxfId="710">
      <totalsRowFormula>-XU7+$AX$7</totalsRowFormula>
    </tableColumn>
    <tableColumn id="646" xr3:uid="{71840498-1222-446C-AD2A-F0CF513E9AD1}" uniqueName="646" name="Column646" totalsRowFunction="custom" queryTableFieldId="646" dataDxfId="709" totalsRowDxfId="708">
      <totalsRowFormula>-XV7+$AX$7</totalsRowFormula>
    </tableColumn>
    <tableColumn id="647" xr3:uid="{A47117DB-C4FD-454C-BC56-6F7FAEE23557}" uniqueName="647" name="Column647" totalsRowFunction="custom" queryTableFieldId="647" dataDxfId="707" totalsRowDxfId="706">
      <totalsRowFormula>-XW7+$AX$7</totalsRowFormula>
    </tableColumn>
    <tableColumn id="648" xr3:uid="{A5B14DA6-F67B-4779-9242-08E2ABC240B1}" uniqueName="648" name="Column648" totalsRowFunction="custom" queryTableFieldId="648" dataDxfId="705" totalsRowDxfId="704">
      <totalsRowFormula>-XX7+$AX$7</totalsRowFormula>
    </tableColumn>
    <tableColumn id="649" xr3:uid="{83B38814-B805-44B1-B7BD-3967863C54CC}" uniqueName="649" name="Column649" totalsRowFunction="custom" queryTableFieldId="649" dataDxfId="703" totalsRowDxfId="702">
      <totalsRowFormula>-XY7+$AX$7</totalsRowFormula>
    </tableColumn>
    <tableColumn id="650" xr3:uid="{553ECE8A-7962-45DF-9DD0-41105E438093}" uniqueName="650" name="Column650" totalsRowFunction="custom" queryTableFieldId="650" dataDxfId="701" totalsRowDxfId="700">
      <totalsRowFormula>-XZ7+$AX$7</totalsRowFormula>
    </tableColumn>
    <tableColumn id="651" xr3:uid="{60CCC526-16DC-4707-9C72-19CBFB2476FA}" uniqueName="651" name="Column651" totalsRowFunction="custom" queryTableFieldId="651" dataDxfId="699" totalsRowDxfId="698">
      <totalsRowFormula>-YA7+$AX$7</totalsRowFormula>
    </tableColumn>
    <tableColumn id="652" xr3:uid="{255405DE-D517-4131-BD95-9407DA139533}" uniqueName="652" name="Column652" totalsRowFunction="custom" queryTableFieldId="652" dataDxfId="697" totalsRowDxfId="696">
      <totalsRowFormula>-YB7+$AX$7</totalsRowFormula>
    </tableColumn>
    <tableColumn id="653" xr3:uid="{6D669A63-F1C7-4A39-8395-53C1E7C151E4}" uniqueName="653" name="Column653" totalsRowFunction="custom" queryTableFieldId="653" dataDxfId="695" totalsRowDxfId="694">
      <totalsRowFormula>-YC7+$AX$7</totalsRowFormula>
    </tableColumn>
    <tableColumn id="654" xr3:uid="{AB7C8E09-2456-4460-841F-858F456BDD26}" uniqueName="654" name="Column654" totalsRowFunction="custom" queryTableFieldId="654" dataDxfId="693" totalsRowDxfId="692">
      <totalsRowFormula>-YD7+$AX$7</totalsRowFormula>
    </tableColumn>
    <tableColumn id="655" xr3:uid="{4E15748A-5E32-47F6-9D8B-C6FFF67339C1}" uniqueName="655" name="Column655" totalsRowFunction="custom" queryTableFieldId="655" dataDxfId="691" totalsRowDxfId="690">
      <totalsRowFormula>-YE7+$AX$7</totalsRowFormula>
    </tableColumn>
    <tableColumn id="656" xr3:uid="{A6A4A38E-8562-4597-AE6A-BEB05EFA357D}" uniqueName="656" name="Column656" totalsRowFunction="custom" queryTableFieldId="656" dataDxfId="689" totalsRowDxfId="688">
      <totalsRowFormula>-YF7+$AX$7</totalsRowFormula>
    </tableColumn>
    <tableColumn id="657" xr3:uid="{2D8D3752-3638-4257-A427-55DB5EF0076D}" uniqueName="657" name="Column657" totalsRowFunction="custom" queryTableFieldId="657" dataDxfId="687" totalsRowDxfId="686">
      <totalsRowFormula>-YG7+$AX$7</totalsRowFormula>
    </tableColumn>
    <tableColumn id="658" xr3:uid="{532E4924-83D1-4CEE-A8D3-A91878EE3FB2}" uniqueName="658" name="Column658" totalsRowFunction="custom" queryTableFieldId="658" dataDxfId="685" totalsRowDxfId="684">
      <totalsRowFormula>-YH7+$AX$7</totalsRowFormula>
    </tableColumn>
    <tableColumn id="659" xr3:uid="{FB162069-FDF0-458F-BB9B-1082906F89ED}" uniqueName="659" name="Column659" totalsRowFunction="custom" queryTableFieldId="659" dataDxfId="683" totalsRowDxfId="682">
      <totalsRowFormula>-YI7+$AX$7</totalsRowFormula>
    </tableColumn>
    <tableColumn id="660" xr3:uid="{9D8A0CFB-2168-408F-B0E4-280CB6746495}" uniqueName="660" name="Column660" totalsRowFunction="custom" queryTableFieldId="660" dataDxfId="681" totalsRowDxfId="680">
      <totalsRowFormula>-YJ7+$AX$7</totalsRowFormula>
    </tableColumn>
    <tableColumn id="661" xr3:uid="{36D4EFA2-2A08-4CE1-B169-3DD0D25508B3}" uniqueName="661" name="Column661" totalsRowFunction="custom" queryTableFieldId="661" dataDxfId="679" totalsRowDxfId="678">
      <totalsRowFormula>-YK7+$AX$7</totalsRowFormula>
    </tableColumn>
    <tableColumn id="662" xr3:uid="{2B7B1F94-F719-41DA-ADCD-E35FE5059CC6}" uniqueName="662" name="Column662" totalsRowFunction="custom" queryTableFieldId="662" dataDxfId="677" totalsRowDxfId="676">
      <totalsRowFormula>-YL7+$AX$7</totalsRowFormula>
    </tableColumn>
    <tableColumn id="663" xr3:uid="{35588E2C-4364-4D75-884A-D108B4693F11}" uniqueName="663" name="Column663" totalsRowFunction="custom" queryTableFieldId="663" dataDxfId="675" totalsRowDxfId="674">
      <totalsRowFormula>-YM7+$AX$7</totalsRowFormula>
    </tableColumn>
    <tableColumn id="664" xr3:uid="{C96DCA92-356B-405D-B511-5DF6CBEB4F4D}" uniqueName="664" name="Column664" totalsRowFunction="custom" queryTableFieldId="664" dataDxfId="673" totalsRowDxfId="672">
      <totalsRowFormula>-YN7+$AX$7</totalsRowFormula>
    </tableColumn>
    <tableColumn id="665" xr3:uid="{4A8407B9-4CAE-4199-BDD2-BB7DA8A66BDB}" uniqueName="665" name="Column665" totalsRowFunction="custom" queryTableFieldId="665" dataDxfId="671" totalsRowDxfId="670">
      <totalsRowFormula>-YO7+$AX$7</totalsRowFormula>
    </tableColumn>
    <tableColumn id="666" xr3:uid="{359BBFF5-B224-4CE0-A43C-4BC6A3EFBCF1}" uniqueName="666" name="Column666" totalsRowFunction="custom" queryTableFieldId="666" dataDxfId="669" totalsRowDxfId="668">
      <totalsRowFormula>-YP7+$AX$7</totalsRowFormula>
    </tableColumn>
    <tableColumn id="667" xr3:uid="{6CFCB382-3E0A-421B-9C82-299F8D736D72}" uniqueName="667" name="Column667" totalsRowFunction="custom" queryTableFieldId="667" dataDxfId="667" totalsRowDxfId="666">
      <totalsRowFormula>-YQ7+$AX$7</totalsRowFormula>
    </tableColumn>
    <tableColumn id="668" xr3:uid="{DC6D4DE4-00CB-4F8C-BEFE-3E7F27134F4B}" uniqueName="668" name="Column668" totalsRowFunction="custom" queryTableFieldId="668" dataDxfId="665" totalsRowDxfId="664">
      <totalsRowFormula>-YR7+$AX$7</totalsRowFormula>
    </tableColumn>
    <tableColumn id="669" xr3:uid="{4C1DDC47-6A31-4EC9-9EB7-8DD806D1C2DE}" uniqueName="669" name="Column669" totalsRowFunction="custom" queryTableFieldId="669" dataDxfId="663" totalsRowDxfId="662">
      <totalsRowFormula>-YS7+$AX$7</totalsRowFormula>
    </tableColumn>
    <tableColumn id="670" xr3:uid="{881A47DE-D066-4D17-A11A-044DB7DAC86C}" uniqueName="670" name="Column670" totalsRowFunction="custom" queryTableFieldId="670" dataDxfId="661" totalsRowDxfId="660">
      <totalsRowFormula>-YT7+$AX$7</totalsRowFormula>
    </tableColumn>
    <tableColumn id="671" xr3:uid="{177364B6-C844-4DEE-B469-5F0747F876D7}" uniqueName="671" name="Column671" totalsRowFunction="custom" queryTableFieldId="671" dataDxfId="659" totalsRowDxfId="658">
      <totalsRowFormula>-YU7+$AX$7</totalsRowFormula>
    </tableColumn>
    <tableColumn id="672" xr3:uid="{78312A99-9245-4F2E-8E31-C4B146D1DAB6}" uniqueName="672" name="Column672" totalsRowFunction="custom" queryTableFieldId="672" dataDxfId="657" totalsRowDxfId="656">
      <totalsRowFormula>-YV7+$AX$7</totalsRowFormula>
    </tableColumn>
    <tableColumn id="673" xr3:uid="{300E45F6-4335-477E-A85E-086D69444166}" uniqueName="673" name="Column673" totalsRowFunction="custom" queryTableFieldId="673" dataDxfId="655" totalsRowDxfId="654">
      <totalsRowFormula>-YW7+$AX$7</totalsRowFormula>
    </tableColumn>
    <tableColumn id="674" xr3:uid="{8EE5D03D-F951-46EE-BF67-1D2328514E28}" uniqueName="674" name="Column674" totalsRowFunction="custom" queryTableFieldId="674" dataDxfId="653" totalsRowDxfId="652">
      <totalsRowFormula>-YX7+$AX$7</totalsRowFormula>
    </tableColumn>
    <tableColumn id="675" xr3:uid="{69DA7E3E-7925-4DB4-AADC-AD997B9AB392}" uniqueName="675" name="Column675" totalsRowFunction="custom" queryTableFieldId="675" dataDxfId="651" totalsRowDxfId="650">
      <totalsRowFormula>-YY7+$AX$7</totalsRowFormula>
    </tableColumn>
    <tableColumn id="676" xr3:uid="{50A71993-7445-4217-A184-9A9AE3934A1F}" uniqueName="676" name="Column676" totalsRowFunction="custom" queryTableFieldId="676" dataDxfId="649" totalsRowDxfId="648">
      <totalsRowFormula>-YZ7+$AX$7</totalsRowFormula>
    </tableColumn>
    <tableColumn id="677" xr3:uid="{585190E9-E62E-40CC-BEEA-8D5F2E06056C}" uniqueName="677" name="Column677" totalsRowFunction="custom" queryTableFieldId="677" dataDxfId="647" totalsRowDxfId="646">
      <totalsRowFormula>-ZA7+$AX$7</totalsRowFormula>
    </tableColumn>
    <tableColumn id="678" xr3:uid="{28D7BB91-8E49-4AE4-A767-19A37C5F4FAA}" uniqueName="678" name="Column678" totalsRowFunction="custom" queryTableFieldId="678" dataDxfId="645" totalsRowDxfId="644">
      <totalsRowFormula>-ZB7+$AX$7</totalsRowFormula>
    </tableColumn>
    <tableColumn id="679" xr3:uid="{0A4151A5-8CD2-49BE-82D9-DE6886E29678}" uniqueName="679" name="Column679" totalsRowFunction="custom" queryTableFieldId="679" dataDxfId="643" totalsRowDxfId="642">
      <totalsRowFormula>-ZC7+$AX$7</totalsRowFormula>
    </tableColumn>
    <tableColumn id="680" xr3:uid="{925146E1-345B-441C-9A21-81E3F69D9931}" uniqueName="680" name="Column680" totalsRowFunction="custom" queryTableFieldId="680" dataDxfId="641" totalsRowDxfId="640">
      <totalsRowFormula>-ZD7+$AX$7</totalsRowFormula>
    </tableColumn>
    <tableColumn id="681" xr3:uid="{D60A0F06-CA6B-4702-B35D-78B4FEC0782F}" uniqueName="681" name="Column681" totalsRowFunction="custom" queryTableFieldId="681" dataDxfId="639" totalsRowDxfId="638">
      <totalsRowFormula>-ZE7+$AX$7</totalsRowFormula>
    </tableColumn>
    <tableColumn id="682" xr3:uid="{3ACD78BB-4CEC-4445-A486-79AFF1B872AE}" uniqueName="682" name="Column682" totalsRowFunction="custom" queryTableFieldId="682" dataDxfId="637" totalsRowDxfId="636">
      <totalsRowFormula>-ZF7+$AX$7</totalsRowFormula>
    </tableColumn>
    <tableColumn id="683" xr3:uid="{72C90593-ADDE-4573-9A31-E2F6924128FB}" uniqueName="683" name="Column683" totalsRowFunction="custom" queryTableFieldId="683" dataDxfId="635" totalsRowDxfId="634">
      <totalsRowFormula>-ZG7+$AX$7</totalsRowFormula>
    </tableColumn>
    <tableColumn id="684" xr3:uid="{67D09070-2AD5-4580-9851-75257741A6EE}" uniqueName="684" name="Column684" totalsRowFunction="custom" queryTableFieldId="684" dataDxfId="633" totalsRowDxfId="632">
      <totalsRowFormula>-ZH7+$AX$7</totalsRowFormula>
    </tableColumn>
    <tableColumn id="685" xr3:uid="{65DED6BE-DB62-4388-A719-6F38B5C3FC87}" uniqueName="685" name="Column685" totalsRowFunction="custom" queryTableFieldId="685" dataDxfId="631" totalsRowDxfId="630">
      <totalsRowFormula>-ZI7+$AX$7</totalsRowFormula>
    </tableColumn>
    <tableColumn id="686" xr3:uid="{2B7F455C-3D0A-4C13-ACC9-9A0B4BE8B855}" uniqueName="686" name="Column686" totalsRowFunction="custom" queryTableFieldId="686" dataDxfId="629" totalsRowDxfId="628">
      <totalsRowFormula>-ZJ7+$AX$7</totalsRowFormula>
    </tableColumn>
    <tableColumn id="687" xr3:uid="{7C4A51AC-4849-47F8-9000-40C0E3307CAC}" uniqueName="687" name="Column687" totalsRowFunction="custom" queryTableFieldId="687" dataDxfId="627" totalsRowDxfId="626">
      <totalsRowFormula>-ZK7+$AX$7</totalsRowFormula>
    </tableColumn>
    <tableColumn id="688" xr3:uid="{5FC08BE4-CA8B-448D-808E-264BA01854AF}" uniqueName="688" name="Column688" totalsRowFunction="custom" queryTableFieldId="688" dataDxfId="625" totalsRowDxfId="624">
      <totalsRowFormula>-ZL7+$AX$7</totalsRowFormula>
    </tableColumn>
    <tableColumn id="689" xr3:uid="{CDA86940-8009-4F9E-980D-9308DFFA9A81}" uniqueName="689" name="Column689" totalsRowFunction="custom" queryTableFieldId="689" dataDxfId="623" totalsRowDxfId="622">
      <totalsRowFormula>-ZM7+$AX$7</totalsRowFormula>
    </tableColumn>
    <tableColumn id="690" xr3:uid="{0A51E4D0-0154-4157-AA15-E5AAA10512E4}" uniqueName="690" name="Column690" totalsRowFunction="custom" queryTableFieldId="690" dataDxfId="621" totalsRowDxfId="620">
      <totalsRowFormula>-ZN7+$AX$7</totalsRowFormula>
    </tableColumn>
    <tableColumn id="691" xr3:uid="{EC49F32C-3EF0-4FC7-97A6-24DCA8189B62}" uniqueName="691" name="Column691" totalsRowFunction="custom" queryTableFieldId="691" dataDxfId="619" totalsRowDxfId="618">
      <totalsRowFormula>-ZO7+$AX$7</totalsRowFormula>
    </tableColumn>
    <tableColumn id="692" xr3:uid="{C552A497-7740-4D0C-9EF1-AEC33E76F263}" uniqueName="692" name="Column692" totalsRowFunction="custom" queryTableFieldId="692" dataDxfId="617" totalsRowDxfId="616">
      <totalsRowFormula>-ZP7+$AX$7</totalsRowFormula>
    </tableColumn>
    <tableColumn id="693" xr3:uid="{7F448848-26BA-4F4C-AE19-2C7BF6A25593}" uniqueName="693" name="Column693" totalsRowFunction="custom" queryTableFieldId="693" dataDxfId="615" totalsRowDxfId="614">
      <totalsRowFormula>-ZQ7+$AX$7</totalsRowFormula>
    </tableColumn>
    <tableColumn id="694" xr3:uid="{318AF7BF-7DAA-4984-A2C7-7F5ADFAAEF4D}" uniqueName="694" name="Column694" totalsRowFunction="custom" queryTableFieldId="694" dataDxfId="613" totalsRowDxfId="612">
      <totalsRowFormula>-ZR7+$AX$7</totalsRowFormula>
    </tableColumn>
    <tableColumn id="695" xr3:uid="{2A514D63-3B72-4670-88A9-B485A0FC0386}" uniqueName="695" name="Column695" totalsRowFunction="custom" queryTableFieldId="695" dataDxfId="611" totalsRowDxfId="610">
      <totalsRowFormula>-ZS7+$AX$7</totalsRowFormula>
    </tableColumn>
    <tableColumn id="696" xr3:uid="{7D29753C-45B1-47D5-BD9B-AECF970CBE42}" uniqueName="696" name="Column696" totalsRowFunction="custom" queryTableFieldId="696" dataDxfId="609" totalsRowDxfId="608">
      <totalsRowFormula>-ZT7+$AX$7</totalsRowFormula>
    </tableColumn>
    <tableColumn id="697" xr3:uid="{092417D5-AB43-4272-9199-555766A8447F}" uniqueName="697" name="Column697" totalsRowFunction="custom" queryTableFieldId="697" dataDxfId="607" totalsRowDxfId="606">
      <totalsRowFormula>-ZU7+$AX$7</totalsRowFormula>
    </tableColumn>
    <tableColumn id="698" xr3:uid="{9326E66C-30F7-45B7-B7F0-CBA0C22D9B88}" uniqueName="698" name="Column698" totalsRowFunction="custom" queryTableFieldId="698" dataDxfId="605" totalsRowDxfId="604">
      <totalsRowFormula>-ZV7+$AX$7</totalsRowFormula>
    </tableColumn>
    <tableColumn id="699" xr3:uid="{3D78F859-D51D-4407-BCB7-BB6FF7CC423F}" uniqueName="699" name="Column699" totalsRowFunction="custom" queryTableFieldId="699" dataDxfId="603" totalsRowDxfId="602">
      <totalsRowFormula>-ZW7+$AX$7</totalsRowFormula>
    </tableColumn>
    <tableColumn id="700" xr3:uid="{4CE2A4C9-D14B-42F9-A1DE-305E035C59AE}" uniqueName="700" name="Column700" totalsRowFunction="custom" queryTableFieldId="700" dataDxfId="601" totalsRowDxfId="600">
      <totalsRowFormula>-ZX7+$AX$7</totalsRowFormula>
    </tableColumn>
    <tableColumn id="701" xr3:uid="{3958CC0E-F337-4892-A003-D131C01BCB30}" uniqueName="701" name="Column701" totalsRowFunction="custom" queryTableFieldId="701" dataDxfId="599" totalsRowDxfId="598">
      <totalsRowFormula>-ZY7+$AX$7</totalsRowFormula>
    </tableColumn>
    <tableColumn id="702" xr3:uid="{791C3760-7717-4D62-B0C2-852ED8A382D8}" uniqueName="702" name="Column702" totalsRowFunction="custom" queryTableFieldId="702" dataDxfId="597" totalsRowDxfId="596">
      <totalsRowFormula>-ZZ7+$AX$7</totalsRowFormula>
    </tableColumn>
    <tableColumn id="703" xr3:uid="{6A0619AA-FF77-45F5-8414-D2BD29F19F0A}" uniqueName="703" name="Column703" totalsRowFunction="custom" queryTableFieldId="703" dataDxfId="595" totalsRowDxfId="594">
      <totalsRowFormula>-AAA7+$AX$7</totalsRowFormula>
    </tableColumn>
    <tableColumn id="704" xr3:uid="{6B832219-0EB9-4255-BFA0-F77F8815CCFF}" uniqueName="704" name="Column704" totalsRowFunction="custom" queryTableFieldId="704" dataDxfId="593" totalsRowDxfId="592">
      <totalsRowFormula>-AAB7+$AX$7</totalsRowFormula>
    </tableColumn>
    <tableColumn id="705" xr3:uid="{92B83CE1-E9E7-4F6E-BC84-EDA7B67EDA07}" uniqueName="705" name="Column705" totalsRowFunction="custom" queryTableFieldId="705" dataDxfId="591" totalsRowDxfId="590">
      <totalsRowFormula>-AAC7+$AX$7</totalsRowFormula>
    </tableColumn>
    <tableColumn id="706" xr3:uid="{9C218F2B-671F-4CD7-829D-B60EE1B4182B}" uniqueName="706" name="Column706" totalsRowFunction="custom" queryTableFieldId="706" dataDxfId="589" totalsRowDxfId="588">
      <totalsRowFormula>-AAD7+$AX$7</totalsRowFormula>
    </tableColumn>
    <tableColumn id="707" xr3:uid="{B800356B-1F57-4383-A3A9-351765212843}" uniqueName="707" name="Column707" totalsRowFunction="custom" queryTableFieldId="707" dataDxfId="587" totalsRowDxfId="586">
      <totalsRowFormula>-AAE7+$AX$7</totalsRowFormula>
    </tableColumn>
    <tableColumn id="708" xr3:uid="{71BFAB03-CE6D-4A0F-9196-463379479910}" uniqueName="708" name="Column708" totalsRowFunction="custom" queryTableFieldId="708" dataDxfId="585" totalsRowDxfId="584">
      <totalsRowFormula>-AAF7+$AX$7</totalsRowFormula>
    </tableColumn>
    <tableColumn id="709" xr3:uid="{A10E722E-D2D2-4CEE-91D0-A5B251CF5613}" uniqueName="709" name="Column709" totalsRowFunction="custom" queryTableFieldId="709" dataDxfId="583" totalsRowDxfId="582">
      <totalsRowFormula>-AAG7+$AX$7</totalsRowFormula>
    </tableColumn>
    <tableColumn id="710" xr3:uid="{40C6C1E1-9CCB-423A-B69E-AF1AD6CEEC60}" uniqueName="710" name="Column710" totalsRowFunction="custom" queryTableFieldId="710" dataDxfId="581" totalsRowDxfId="580">
      <totalsRowFormula>-AAH7+$AX$7</totalsRowFormula>
    </tableColumn>
    <tableColumn id="711" xr3:uid="{76A585DB-34D6-4E94-8940-20F66EB10552}" uniqueName="711" name="Column711" totalsRowFunction="custom" queryTableFieldId="711" dataDxfId="579" totalsRowDxfId="578">
      <totalsRowFormula>-AAI7+$AX$7</totalsRowFormula>
    </tableColumn>
    <tableColumn id="712" xr3:uid="{1C61BBB4-F62D-45BF-80FA-FD8E74E7DC26}" uniqueName="712" name="Column712" totalsRowFunction="custom" queryTableFieldId="712" dataDxfId="577" totalsRowDxfId="576">
      <totalsRowFormula>-AAJ7+$AX$7</totalsRowFormula>
    </tableColumn>
    <tableColumn id="713" xr3:uid="{D13ED6A7-C8A8-4110-9F22-24412E01155C}" uniqueName="713" name="Column713" totalsRowFunction="custom" queryTableFieldId="713" dataDxfId="575" totalsRowDxfId="574">
      <totalsRowFormula>-AAK7+$AX$7</totalsRowFormula>
    </tableColumn>
    <tableColumn id="714" xr3:uid="{59ADE343-ADED-42A8-A5E6-9204E1223152}" uniqueName="714" name="Column714" totalsRowFunction="custom" queryTableFieldId="714" dataDxfId="573" totalsRowDxfId="572">
      <totalsRowFormula>-AAL7+$AX$7</totalsRowFormula>
    </tableColumn>
    <tableColumn id="715" xr3:uid="{A3039D5A-9F06-4531-A694-F2CA675FA27B}" uniqueName="715" name="Column715" totalsRowFunction="custom" queryTableFieldId="715" dataDxfId="571" totalsRowDxfId="570">
      <totalsRowFormula>-AAM7+$AX$7</totalsRowFormula>
    </tableColumn>
    <tableColumn id="716" xr3:uid="{BB1DEF3D-3ACC-41D8-BB25-C152BC0ECC2D}" uniqueName="716" name="Column716" totalsRowFunction="custom" queryTableFieldId="716" dataDxfId="569" totalsRowDxfId="568">
      <totalsRowFormula>-AAN7+$AX$7</totalsRowFormula>
    </tableColumn>
    <tableColumn id="717" xr3:uid="{3FEFEA9E-4AD7-4FB9-AEAF-BF77BA52102F}" uniqueName="717" name="Column717" totalsRowFunction="custom" queryTableFieldId="717" dataDxfId="567" totalsRowDxfId="566">
      <totalsRowFormula>-AAO7+$AX$7</totalsRowFormula>
    </tableColumn>
    <tableColumn id="718" xr3:uid="{652A94BD-F67F-4972-949E-11094EC4F94C}" uniqueName="718" name="Column718" totalsRowFunction="custom" queryTableFieldId="718" dataDxfId="565" totalsRowDxfId="564">
      <totalsRowFormula>-AAP7+$AX$7</totalsRowFormula>
    </tableColumn>
    <tableColumn id="719" xr3:uid="{12749A96-623F-4D35-B56A-3F832137DCC4}" uniqueName="719" name="Column719" totalsRowFunction="custom" queryTableFieldId="719" dataDxfId="563" totalsRowDxfId="562">
      <totalsRowFormula>-AAQ7+$AX$7</totalsRowFormula>
    </tableColumn>
    <tableColumn id="720" xr3:uid="{328D2186-9C83-45D4-8BFA-809F14DBEE30}" uniqueName="720" name="Column720" totalsRowFunction="custom" queryTableFieldId="720" dataDxfId="561" totalsRowDxfId="560">
      <totalsRowFormula>-AAR7+$AX$7</totalsRowFormula>
    </tableColumn>
    <tableColumn id="721" xr3:uid="{298D49A0-954F-48FE-9D57-7897F61D4FBA}" uniqueName="721" name="Column721" totalsRowFunction="custom" queryTableFieldId="721" dataDxfId="559" totalsRowDxfId="558">
      <totalsRowFormula>-AAS7+$AX$7</totalsRowFormula>
    </tableColumn>
    <tableColumn id="722" xr3:uid="{2D70CE35-FAE1-4F94-B4AE-B754AE57BBD2}" uniqueName="722" name="Column722" totalsRowFunction="custom" queryTableFieldId="722" dataDxfId="557" totalsRowDxfId="556">
      <totalsRowFormula>-AAT7+$AX$7</totalsRowFormula>
    </tableColumn>
    <tableColumn id="723" xr3:uid="{5D1421F1-B4EC-44C7-84DA-F7B2445612A0}" uniqueName="723" name="Column723" totalsRowFunction="custom" queryTableFieldId="723" dataDxfId="555" totalsRowDxfId="554">
      <totalsRowFormula>-AAU7+$AX$7</totalsRowFormula>
    </tableColumn>
    <tableColumn id="724" xr3:uid="{8B7B9A92-23F5-449E-836A-C544645F23D5}" uniqueName="724" name="Column724" totalsRowFunction="custom" queryTableFieldId="724" dataDxfId="553" totalsRowDxfId="552">
      <totalsRowFormula>-AAV7+$AX$7</totalsRowFormula>
    </tableColumn>
    <tableColumn id="725" xr3:uid="{FFADC882-7E89-4503-8F54-321624BE4F65}" uniqueName="725" name="Column725" totalsRowFunction="custom" queryTableFieldId="725" dataDxfId="551" totalsRowDxfId="550">
      <totalsRowFormula>-AAW7+$AX$7</totalsRowFormula>
    </tableColumn>
    <tableColumn id="726" xr3:uid="{97F20F6C-FD5C-4A78-B351-BA45EADD6AE1}" uniqueName="726" name="Column726" totalsRowFunction="custom" queryTableFieldId="726" dataDxfId="549" totalsRowDxfId="548">
      <totalsRowFormula>-AAX7+$AX$7</totalsRowFormula>
    </tableColumn>
    <tableColumn id="727" xr3:uid="{7FDFD301-C83B-41ED-A6B7-68C472FB117C}" uniqueName="727" name="Column727" totalsRowFunction="custom" queryTableFieldId="727" dataDxfId="547" totalsRowDxfId="546">
      <totalsRowFormula>-AAY7+$AX$7</totalsRowFormula>
    </tableColumn>
    <tableColumn id="728" xr3:uid="{2495D9B8-7DB2-4178-A2CB-407AA1BFBD95}" uniqueName="728" name="Column728" totalsRowFunction="custom" queryTableFieldId="728" dataDxfId="545" totalsRowDxfId="544">
      <totalsRowFormula>-AAZ7+$AX$7</totalsRowFormula>
    </tableColumn>
    <tableColumn id="729" xr3:uid="{7ED80971-FAD1-427D-A929-E6F495DE9477}" uniqueName="729" name="Column729" totalsRowFunction="custom" queryTableFieldId="729" dataDxfId="543" totalsRowDxfId="542">
      <totalsRowFormula>-ABA7+$AX$7</totalsRowFormula>
    </tableColumn>
    <tableColumn id="730" xr3:uid="{39191E01-8EC7-49BD-ACA0-50FC026E4117}" uniqueName="730" name="Column730" totalsRowFunction="custom" queryTableFieldId="730" dataDxfId="541" totalsRowDxfId="540">
      <totalsRowFormula>-ABB7+$AX$7</totalsRowFormula>
    </tableColumn>
    <tableColumn id="731" xr3:uid="{B3495693-2F8B-4807-9868-1E8B4764BA3A}" uniqueName="731" name="Column731" totalsRowFunction="custom" queryTableFieldId="731" dataDxfId="539" totalsRowDxfId="538">
      <totalsRowFormula>-ABC7+$AX$7</totalsRowFormula>
    </tableColumn>
    <tableColumn id="732" xr3:uid="{28E68A44-A728-4C29-81F4-5D9F1B4929AA}" uniqueName="732" name="Column732" totalsRowFunction="custom" queryTableFieldId="732" dataDxfId="537" totalsRowDxfId="536">
      <totalsRowFormula>-ABD7+$AX$7</totalsRowFormula>
    </tableColumn>
    <tableColumn id="733" xr3:uid="{241F54BE-FD42-4275-BF57-4915C3CB2D3F}" uniqueName="733" name="Column733" totalsRowFunction="custom" queryTableFieldId="733" dataDxfId="535" totalsRowDxfId="534">
      <totalsRowFormula>-ABE7+$AX$7</totalsRowFormula>
    </tableColumn>
    <tableColumn id="734" xr3:uid="{FE129CE3-1AC1-4729-9E10-7022B5363FD5}" uniqueName="734" name="Column734" totalsRowFunction="custom" queryTableFieldId="734" dataDxfId="533" totalsRowDxfId="532">
      <totalsRowFormula>-ABF7+$AX$7</totalsRowFormula>
    </tableColumn>
    <tableColumn id="735" xr3:uid="{6B5D7B57-7B9E-47D7-B21B-EC792C62DD4B}" uniqueName="735" name="Column735" totalsRowFunction="custom" queryTableFieldId="735" dataDxfId="531" totalsRowDxfId="530">
      <totalsRowFormula>-ABG7+$AX$7</totalsRowFormula>
    </tableColumn>
    <tableColumn id="736" xr3:uid="{B5A5F959-E3C6-41DD-A669-5ADB3FE766B4}" uniqueName="736" name="Column736" totalsRowFunction="custom" queryTableFieldId="736" dataDxfId="529" totalsRowDxfId="528">
      <totalsRowFormula>-ABH7+$AX$7</totalsRowFormula>
    </tableColumn>
    <tableColumn id="737" xr3:uid="{66C2DF89-AC25-4579-88B1-83724945C210}" uniqueName="737" name="Column737" totalsRowFunction="custom" queryTableFieldId="737" dataDxfId="527" totalsRowDxfId="526">
      <totalsRowFormula>-ABI7+$AX$7</totalsRowFormula>
    </tableColumn>
    <tableColumn id="738" xr3:uid="{CE165BD5-8635-4C20-AAE2-B42B6DACA531}" uniqueName="738" name="Column738" totalsRowFunction="custom" queryTableFieldId="738" dataDxfId="525" totalsRowDxfId="524">
      <totalsRowFormula>-ABJ7+$AX$7</totalsRowFormula>
    </tableColumn>
    <tableColumn id="739" xr3:uid="{0C4A8E27-096E-422E-9E8C-FB8FC120D11B}" uniqueName="739" name="Column739" totalsRowFunction="custom" queryTableFieldId="739" dataDxfId="523" totalsRowDxfId="522">
      <totalsRowFormula>-ABK7+$AX$7</totalsRowFormula>
    </tableColumn>
    <tableColumn id="740" xr3:uid="{4D5C32FF-C9CE-4F85-AD32-6E26D7A18644}" uniqueName="740" name="Column740" totalsRowFunction="custom" queryTableFieldId="740" dataDxfId="521" totalsRowDxfId="520">
      <totalsRowFormula>-ABL7+$AX$7</totalsRowFormula>
    </tableColumn>
    <tableColumn id="741" xr3:uid="{49E6A487-B9A4-470C-A1C4-3B97FEDDC566}" uniqueName="741" name="Column741" totalsRowFunction="custom" queryTableFieldId="741" dataDxfId="519" totalsRowDxfId="518">
      <totalsRowFormula>-ABM7+$AX$7</totalsRowFormula>
    </tableColumn>
    <tableColumn id="742" xr3:uid="{CE9299F3-E54E-4025-A942-A06D98078CA8}" uniqueName="742" name="Column742" totalsRowFunction="custom" queryTableFieldId="742" dataDxfId="517" totalsRowDxfId="516">
      <totalsRowFormula>-ABN7+$AX$7</totalsRowFormula>
    </tableColumn>
    <tableColumn id="743" xr3:uid="{CC3FAE46-66E4-498A-9D3D-45C68A5991F0}" uniqueName="743" name="Column743" totalsRowFunction="custom" queryTableFieldId="743" dataDxfId="515" totalsRowDxfId="514">
      <totalsRowFormula>-ABO7+$AX$7</totalsRowFormula>
    </tableColumn>
    <tableColumn id="744" xr3:uid="{3EC3A210-6B3F-4864-8FCE-F932BEF7E9E5}" uniqueName="744" name="Column744" totalsRowFunction="custom" queryTableFieldId="744" dataDxfId="513" totalsRowDxfId="512">
      <totalsRowFormula>-ABP7+$AX$7</totalsRowFormula>
    </tableColumn>
    <tableColumn id="745" xr3:uid="{57DF6FCD-112C-4F93-A35F-45F65DC8E56B}" uniqueName="745" name="Column745" totalsRowFunction="custom" queryTableFieldId="745" dataDxfId="511" totalsRowDxfId="510">
      <totalsRowFormula>-ABQ7+$AX$7</totalsRowFormula>
    </tableColumn>
    <tableColumn id="746" xr3:uid="{7F1F9B99-49F7-42E8-85C6-783ACB006644}" uniqueName="746" name="Column746" totalsRowFunction="custom" queryTableFieldId="746" dataDxfId="509" totalsRowDxfId="508">
      <totalsRowFormula>-ABR7+$AX$7</totalsRowFormula>
    </tableColumn>
    <tableColumn id="747" xr3:uid="{73371613-442D-4F4E-8320-403A5FC9B097}" uniqueName="747" name="Column747" totalsRowFunction="custom" queryTableFieldId="747" dataDxfId="507" totalsRowDxfId="506">
      <totalsRowFormula>-ABS7+$AX$7</totalsRowFormula>
    </tableColumn>
    <tableColumn id="748" xr3:uid="{FF723E1F-96F1-458A-AE09-E719ED8C4A1C}" uniqueName="748" name="Column748" totalsRowFunction="custom" queryTableFieldId="748" dataDxfId="505" totalsRowDxfId="504">
      <totalsRowFormula>-ABT7+$AX$7</totalsRowFormula>
    </tableColumn>
    <tableColumn id="749" xr3:uid="{4747290A-070E-427C-BA33-CCD239350A21}" uniqueName="749" name="Column749" totalsRowFunction="custom" queryTableFieldId="749" dataDxfId="503" totalsRowDxfId="502">
      <totalsRowFormula>-ABU7+$AX$7</totalsRowFormula>
    </tableColumn>
    <tableColumn id="750" xr3:uid="{69DAB18E-574F-4167-B7B8-B96C3AB82934}" uniqueName="750" name="Column750" totalsRowFunction="custom" queryTableFieldId="750" dataDxfId="501" totalsRowDxfId="500">
      <totalsRowFormula>-ABV7+$AX$7</totalsRowFormula>
    </tableColumn>
    <tableColumn id="751" xr3:uid="{A70B98F5-1DA8-4779-9D43-89CA5E677312}" uniqueName="751" name="Column751" totalsRowFunction="custom" queryTableFieldId="751" dataDxfId="499" totalsRowDxfId="498">
      <totalsRowFormula>-ABW7+$AX$7</totalsRowFormula>
    </tableColumn>
    <tableColumn id="752" xr3:uid="{2D3B91EE-1E61-4CE2-97E8-5C4DA9F95F76}" uniqueName="752" name="Column752" totalsRowFunction="custom" queryTableFieldId="752" dataDxfId="497" totalsRowDxfId="496">
      <totalsRowFormula>-ABX7+$AX$7</totalsRowFormula>
    </tableColumn>
    <tableColumn id="753" xr3:uid="{E7C87BA5-8614-43C2-AB17-D997517FEA8D}" uniqueName="753" name="Column753" totalsRowFunction="custom" queryTableFieldId="753" dataDxfId="495" totalsRowDxfId="494">
      <totalsRowFormula>-ABY7+$AX$7</totalsRowFormula>
    </tableColumn>
    <tableColumn id="754" xr3:uid="{7A1851C8-1664-41E5-A00D-76FC533CC115}" uniqueName="754" name="Column754" totalsRowFunction="custom" queryTableFieldId="754" dataDxfId="493" totalsRowDxfId="492">
      <totalsRowFormula>-ABZ7+$AX$7</totalsRowFormula>
    </tableColumn>
    <tableColumn id="755" xr3:uid="{F97F24F4-7517-4B82-8DC3-369B2F1C40A6}" uniqueName="755" name="Column755" totalsRowFunction="custom" queryTableFieldId="755" dataDxfId="491" totalsRowDxfId="490">
      <totalsRowFormula>-ACA7+$AX$7</totalsRowFormula>
    </tableColumn>
    <tableColumn id="756" xr3:uid="{5B8EF583-800F-46A1-A569-13D8DE9F7A7F}" uniqueName="756" name="Column756" totalsRowFunction="custom" queryTableFieldId="756" dataDxfId="489" totalsRowDxfId="488">
      <totalsRowFormula>-ACB7+$AX$7</totalsRowFormula>
    </tableColumn>
    <tableColumn id="757" xr3:uid="{69ECD717-BE76-43CA-8D56-969AB2549871}" uniqueName="757" name="Column757" totalsRowFunction="custom" queryTableFieldId="757" dataDxfId="487" totalsRowDxfId="486">
      <totalsRowFormula>-ACC7+$AX$7</totalsRowFormula>
    </tableColumn>
    <tableColumn id="758" xr3:uid="{3F2DD74B-9764-483F-86F7-62DB5FE9060E}" uniqueName="758" name="Column758" totalsRowFunction="custom" queryTableFieldId="758" dataDxfId="485" totalsRowDxfId="484">
      <totalsRowFormula>-ACD7+$AX$7</totalsRowFormula>
    </tableColumn>
    <tableColumn id="759" xr3:uid="{50CEEBBB-D60D-48DB-B44D-DDDB2C76E232}" uniqueName="759" name="Column759" totalsRowFunction="custom" queryTableFieldId="759" dataDxfId="483" totalsRowDxfId="482">
      <totalsRowFormula>-ACE7+$AX$7</totalsRowFormula>
    </tableColumn>
    <tableColumn id="760" xr3:uid="{14A01F47-F3D3-4A30-9AD9-6F34A265D8CB}" uniqueName="760" name="Column760" totalsRowFunction="custom" queryTableFieldId="760" dataDxfId="481" totalsRowDxfId="480">
      <totalsRowFormula>-ACF7+$AX$7</totalsRowFormula>
    </tableColumn>
    <tableColumn id="761" xr3:uid="{810ABECC-B88B-4EC5-BB6C-F56A45AC3B38}" uniqueName="761" name="Column761" totalsRowFunction="custom" queryTableFieldId="761" dataDxfId="479" totalsRowDxfId="478">
      <totalsRowFormula>-ACG7+$AX$7</totalsRowFormula>
    </tableColumn>
    <tableColumn id="762" xr3:uid="{CF845F6E-4694-4B4A-A3CF-79FE2B00D96A}" uniqueName="762" name="Column762" totalsRowFunction="custom" queryTableFieldId="762" dataDxfId="477" totalsRowDxfId="476">
      <totalsRowFormula>-ACH7+$AX$7</totalsRowFormula>
    </tableColumn>
    <tableColumn id="763" xr3:uid="{5CDA0602-0080-4BEB-AC12-EE84FFF0F8A6}" uniqueName="763" name="Column763" totalsRowFunction="custom" queryTableFieldId="763" dataDxfId="475" totalsRowDxfId="474">
      <totalsRowFormula>-ACI7+$AX$7</totalsRowFormula>
    </tableColumn>
    <tableColumn id="764" xr3:uid="{65583BF1-4217-4A1C-9169-CE450DDA0E1E}" uniqueName="764" name="Column764" totalsRowFunction="custom" queryTableFieldId="764" dataDxfId="473" totalsRowDxfId="472">
      <totalsRowFormula>-ACJ7+$AX$7</totalsRowFormula>
    </tableColumn>
    <tableColumn id="765" xr3:uid="{0690EF51-7534-425E-9BBA-2D47C57EBBA5}" uniqueName="765" name="Column765" totalsRowFunction="custom" queryTableFieldId="765" dataDxfId="471" totalsRowDxfId="470">
      <totalsRowFormula>-ACK7+$AX$7</totalsRowFormula>
    </tableColumn>
    <tableColumn id="766" xr3:uid="{36DDDBAC-5521-4604-B48D-006269AE0CA9}" uniqueName="766" name="Column766" totalsRowFunction="custom" queryTableFieldId="766" dataDxfId="469" totalsRowDxfId="468">
      <totalsRowFormula>-ACL7+$AX$7</totalsRowFormula>
    </tableColumn>
    <tableColumn id="767" xr3:uid="{182B7B53-8383-42F0-A5EF-7227485D5CD3}" uniqueName="767" name="Column767" totalsRowFunction="custom" queryTableFieldId="767" dataDxfId="467" totalsRowDxfId="466">
      <totalsRowFormula>-ACM7+$AX$7</totalsRowFormula>
    </tableColumn>
    <tableColumn id="768" xr3:uid="{DB40331F-A9F3-46AB-91DB-0D89CEB942F1}" uniqueName="768" name="Column768" totalsRowFunction="custom" queryTableFieldId="768" dataDxfId="465" totalsRowDxfId="464">
      <totalsRowFormula>-ACN7+$AX$7</totalsRowFormula>
    </tableColumn>
    <tableColumn id="769" xr3:uid="{17978998-6824-40E8-BEED-06B0537552A9}" uniqueName="769" name="Column769" totalsRowFunction="custom" queryTableFieldId="769" dataDxfId="463" totalsRowDxfId="462">
      <totalsRowFormula>-ACO7+$AX$7</totalsRowFormula>
    </tableColumn>
    <tableColumn id="770" xr3:uid="{C6D70E00-4E48-4DC8-82F7-5242C5CCF035}" uniqueName="770" name="Column770" totalsRowFunction="custom" queryTableFieldId="770" dataDxfId="461" totalsRowDxfId="460">
      <totalsRowFormula>-ACP7+$AX$7</totalsRowFormula>
    </tableColumn>
    <tableColumn id="771" xr3:uid="{935CA062-91C0-492C-904E-616E7C719EBE}" uniqueName="771" name="Column771" totalsRowFunction="custom" queryTableFieldId="771" dataDxfId="459" totalsRowDxfId="458">
      <totalsRowFormula>-ACQ7+$AX$7</totalsRowFormula>
    </tableColumn>
    <tableColumn id="772" xr3:uid="{EBC08075-0E66-474E-B43F-A727759A20A8}" uniqueName="772" name="Column772" totalsRowFunction="custom" queryTableFieldId="772" dataDxfId="457" totalsRowDxfId="456">
      <totalsRowFormula>-ACR7+$AX$7</totalsRowFormula>
    </tableColumn>
    <tableColumn id="773" xr3:uid="{3DF55ACD-EF90-4909-A37E-0124362EBED5}" uniqueName="773" name="Column773" totalsRowFunction="custom" queryTableFieldId="773" dataDxfId="455" totalsRowDxfId="454">
      <totalsRowFormula>-ACS7+$AX$7</totalsRowFormula>
    </tableColumn>
    <tableColumn id="774" xr3:uid="{A0164931-C220-40C0-AD88-3F36E3AD0212}" uniqueName="774" name="Column774" totalsRowFunction="custom" queryTableFieldId="774" dataDxfId="453" totalsRowDxfId="452">
      <totalsRowFormula>-ACT7+$AX$7</totalsRowFormula>
    </tableColumn>
    <tableColumn id="775" xr3:uid="{15129343-0B31-4D70-AC55-DFC1D54C928A}" uniqueName="775" name="Column775" totalsRowFunction="custom" queryTableFieldId="775" dataDxfId="451" totalsRowDxfId="450">
      <totalsRowFormula>-ACU7+$AX$7</totalsRowFormula>
    </tableColumn>
    <tableColumn id="776" xr3:uid="{0270EB0A-64C6-4005-A5AD-F2176446AD35}" uniqueName="776" name="Column776" totalsRowFunction="custom" queryTableFieldId="776" dataDxfId="449" totalsRowDxfId="448">
      <totalsRowFormula>-ACV7+$AX$7</totalsRowFormula>
    </tableColumn>
    <tableColumn id="777" xr3:uid="{5608ADB4-B1C7-4ED2-A04E-59DC25AC0590}" uniqueName="777" name="Column777" totalsRowFunction="custom" queryTableFieldId="777" dataDxfId="447" totalsRowDxfId="446">
      <totalsRowFormula>-ACW7+$AX$7</totalsRowFormula>
    </tableColumn>
    <tableColumn id="778" xr3:uid="{DA3B22E8-F68A-476D-8D12-EF52716D8130}" uniqueName="778" name="Column778" totalsRowFunction="custom" queryTableFieldId="778" dataDxfId="445" totalsRowDxfId="444">
      <totalsRowFormula>-ACX7+$AX$7</totalsRowFormula>
    </tableColumn>
    <tableColumn id="779" xr3:uid="{ED548B88-C0BF-49CF-9D53-606750A010A7}" uniqueName="779" name="Column779" totalsRowFunction="custom" queryTableFieldId="779" dataDxfId="443" totalsRowDxfId="442">
      <totalsRowFormula>-ACY7+$AX$7</totalsRowFormula>
    </tableColumn>
    <tableColumn id="780" xr3:uid="{9B07E27A-A242-4BA5-890A-5D7664F134A8}" uniqueName="780" name="Column780" totalsRowFunction="custom" queryTableFieldId="780" dataDxfId="441" totalsRowDxfId="440">
      <totalsRowFormula>-ACZ7+$AX$7</totalsRowFormula>
    </tableColumn>
    <tableColumn id="781" xr3:uid="{6BAC16A4-068D-410C-A4AB-0CB4DDF012B7}" uniqueName="781" name="Column781" totalsRowFunction="custom" queryTableFieldId="781" dataDxfId="439" totalsRowDxfId="438">
      <totalsRowFormula>-ADA7+$AX$7</totalsRowFormula>
    </tableColumn>
    <tableColumn id="782" xr3:uid="{7B6946D5-3DE0-4433-9062-1626967D05B6}" uniqueName="782" name="Column782" totalsRowFunction="custom" queryTableFieldId="782" dataDxfId="437" totalsRowDxfId="436">
      <totalsRowFormula>-ADB7+$AX$7</totalsRowFormula>
    </tableColumn>
    <tableColumn id="783" xr3:uid="{3050C690-C48E-47DB-AB01-5E9D0074085A}" uniqueName="783" name="Column783" totalsRowFunction="custom" queryTableFieldId="783" dataDxfId="435" totalsRowDxfId="434">
      <totalsRowFormula>-ADC7+$AX$7</totalsRowFormula>
    </tableColumn>
    <tableColumn id="784" xr3:uid="{87EE060F-5DE2-4030-A686-2B7388A99A75}" uniqueName="784" name="Column784" totalsRowFunction="custom" queryTableFieldId="784" dataDxfId="433" totalsRowDxfId="432">
      <totalsRowFormula>-ADD7+$AX$7</totalsRowFormula>
    </tableColumn>
    <tableColumn id="785" xr3:uid="{3AF628D4-27AA-457B-BFE9-8EDAC9F8CAA4}" uniqueName="785" name="Column785" totalsRowFunction="custom" queryTableFieldId="785" dataDxfId="431" totalsRowDxfId="430">
      <totalsRowFormula>-ADE7+$AX$7</totalsRowFormula>
    </tableColumn>
    <tableColumn id="786" xr3:uid="{0F90A759-19FF-404E-A449-11E0A168C6F4}" uniqueName="786" name="Column786" totalsRowFunction="custom" queryTableFieldId="786" dataDxfId="429" totalsRowDxfId="428">
      <totalsRowFormula>-ADF7+$AX$7</totalsRowFormula>
    </tableColumn>
    <tableColumn id="787" xr3:uid="{397FFBA0-9DD0-4350-BE07-542A2075A31B}" uniqueName="787" name="Column787" totalsRowFunction="custom" queryTableFieldId="787" dataDxfId="427" totalsRowDxfId="426">
      <totalsRowFormula>-ADG7+$AX$7</totalsRowFormula>
    </tableColumn>
    <tableColumn id="788" xr3:uid="{206E94F0-47C6-4D37-BBE1-BCA70632E1B4}" uniqueName="788" name="Column788" totalsRowFunction="custom" queryTableFieldId="788" dataDxfId="425" totalsRowDxfId="424">
      <totalsRowFormula>-ADH7+$AX$7</totalsRowFormula>
    </tableColumn>
    <tableColumn id="789" xr3:uid="{FC872D12-19F5-4A82-82E8-1A2815D54A80}" uniqueName="789" name="Column789" totalsRowFunction="custom" queryTableFieldId="789" dataDxfId="423" totalsRowDxfId="422">
      <totalsRowFormula>-ADI7+$AX$7</totalsRowFormula>
    </tableColumn>
    <tableColumn id="790" xr3:uid="{91AA2310-5B02-4167-A64C-7C304F8FE03A}" uniqueName="790" name="Column790" totalsRowFunction="custom" queryTableFieldId="790" dataDxfId="421" totalsRowDxfId="420">
      <totalsRowFormula>-ADJ7+$AX$7</totalsRowFormula>
    </tableColumn>
    <tableColumn id="791" xr3:uid="{80BDB687-104E-49F9-8A64-86BCD8E23508}" uniqueName="791" name="Column791" totalsRowFunction="custom" queryTableFieldId="791" dataDxfId="419" totalsRowDxfId="418">
      <totalsRowFormula>-ADK7+$AX$7</totalsRowFormula>
    </tableColumn>
    <tableColumn id="792" xr3:uid="{39C3CDA4-B525-4E83-B1EB-A88994EA93DE}" uniqueName="792" name="Column792" totalsRowFunction="custom" queryTableFieldId="792" dataDxfId="417" totalsRowDxfId="416">
      <totalsRowFormula>-ADL7+$AX$7</totalsRowFormula>
    </tableColumn>
    <tableColumn id="793" xr3:uid="{38A9D98C-1B9E-4492-880B-ED6F2AACA8AD}" uniqueName="793" name="Column793" totalsRowFunction="custom" queryTableFieldId="793" dataDxfId="415" totalsRowDxfId="414">
      <totalsRowFormula>-ADM7+$AX$7</totalsRowFormula>
    </tableColumn>
    <tableColumn id="794" xr3:uid="{06EE1BEE-17A0-428E-B91B-481DB38E10AF}" uniqueName="794" name="Column794" totalsRowFunction="custom" queryTableFieldId="794" dataDxfId="413" totalsRowDxfId="412">
      <totalsRowFormula>-ADN7+$AX$7</totalsRowFormula>
    </tableColumn>
    <tableColumn id="795" xr3:uid="{77F67F68-7C84-420A-AB36-D21D49006B3A}" uniqueName="795" name="Column795" totalsRowFunction="custom" queryTableFieldId="795" dataDxfId="411" totalsRowDxfId="410">
      <totalsRowFormula>-ADO7+$AX$7</totalsRowFormula>
    </tableColumn>
    <tableColumn id="796" xr3:uid="{B6D847C6-3AAB-4FBB-A3A7-F4C92440E238}" uniqueName="796" name="Column796" totalsRowFunction="custom" queryTableFieldId="796" dataDxfId="409" totalsRowDxfId="408">
      <totalsRowFormula>-ADP7+$AX$7</totalsRowFormula>
    </tableColumn>
    <tableColumn id="797" xr3:uid="{DB22AA7D-3509-454C-B858-65825422F3D6}" uniqueName="797" name="Column797" totalsRowFunction="custom" queryTableFieldId="797" dataDxfId="407" totalsRowDxfId="406">
      <totalsRowFormula>-ADQ7+$AX$7</totalsRowFormula>
    </tableColumn>
    <tableColumn id="798" xr3:uid="{3D4357E2-045C-4E99-80D0-7D5FCFF83ECB}" uniqueName="798" name="Column798" totalsRowFunction="custom" queryTableFieldId="798" dataDxfId="405" totalsRowDxfId="404">
      <totalsRowFormula>-ADR7+$AX$7</totalsRowFormula>
    </tableColumn>
    <tableColumn id="799" xr3:uid="{4A52CAA7-2C85-40E8-A2D6-508A757B49FB}" uniqueName="799" name="Column799" totalsRowFunction="custom" queryTableFieldId="799" dataDxfId="403" totalsRowDxfId="402">
      <totalsRowFormula>-ADS7+$AX$7</totalsRowFormula>
    </tableColumn>
    <tableColumn id="800" xr3:uid="{E6E5B60E-4754-4807-9B83-1A2116958904}" uniqueName="800" name="Column800" totalsRowFunction="custom" queryTableFieldId="800" dataDxfId="401" totalsRowDxfId="400">
      <totalsRowFormula>-ADT7+$AX$7</totalsRowFormula>
    </tableColumn>
    <tableColumn id="801" xr3:uid="{C82461D0-F316-476A-9DD3-A486166AC94A}" uniqueName="801" name="Column801" totalsRowFunction="custom" queryTableFieldId="801" dataDxfId="399" totalsRowDxfId="398">
      <totalsRowFormula>-ADU7+$AX$7</totalsRowFormula>
    </tableColumn>
    <tableColumn id="802" xr3:uid="{E4564772-DECE-4472-8088-30802B8CDF20}" uniqueName="802" name="Column802" totalsRowFunction="custom" queryTableFieldId="802" dataDxfId="397" totalsRowDxfId="396">
      <totalsRowFormula>-ADV7+$AX$7</totalsRowFormula>
    </tableColumn>
    <tableColumn id="803" xr3:uid="{FEE129B6-A708-4F3B-9889-B78AFB0474D5}" uniqueName="803" name="Column803" totalsRowFunction="custom" queryTableFieldId="803" dataDxfId="395" totalsRowDxfId="394">
      <totalsRowFormula>-ADW7+$AX$7</totalsRowFormula>
    </tableColumn>
    <tableColumn id="804" xr3:uid="{24B1DB1A-01A0-41F8-B9B4-36920371A678}" uniqueName="804" name="Column804" totalsRowFunction="custom" queryTableFieldId="804" dataDxfId="393" totalsRowDxfId="392">
      <totalsRowFormula>-ADX7+$AX$7</totalsRowFormula>
    </tableColumn>
    <tableColumn id="805" xr3:uid="{D853F005-B822-4146-AE8F-AA5BED4C337F}" uniqueName="805" name="Column805" totalsRowFunction="custom" queryTableFieldId="805" dataDxfId="391" totalsRowDxfId="390">
      <totalsRowFormula>-ADY7+$AX$7</totalsRowFormula>
    </tableColumn>
    <tableColumn id="806" xr3:uid="{BA7FBCE4-E651-485B-B3E8-667A4819EB24}" uniqueName="806" name="Column806" totalsRowFunction="custom" queryTableFieldId="806" dataDxfId="389" totalsRowDxfId="388">
      <totalsRowFormula>-ADZ7+$AX$7</totalsRowFormula>
    </tableColumn>
    <tableColumn id="807" xr3:uid="{B8D7AF49-1548-4A4F-9E23-5D75C696C0C1}" uniqueName="807" name="Column807" totalsRowFunction="custom" queryTableFieldId="807" dataDxfId="387" totalsRowDxfId="386">
      <totalsRowFormula>-AEA7+$AX$7</totalsRowFormula>
    </tableColumn>
    <tableColumn id="808" xr3:uid="{B7B9A743-EC1D-449C-B656-0F464E6C3AB5}" uniqueName="808" name="Column808" totalsRowFunction="custom" queryTableFieldId="808" dataDxfId="385" totalsRowDxfId="384">
      <totalsRowFormula>-AEB7+$AX$7</totalsRowFormula>
    </tableColumn>
    <tableColumn id="809" xr3:uid="{AE4F159F-7428-4625-A83F-1CDF10F936EC}" uniqueName="809" name="Column809" totalsRowFunction="custom" queryTableFieldId="809" dataDxfId="383" totalsRowDxfId="382">
      <totalsRowFormula>-AEC7+$AX$7</totalsRowFormula>
    </tableColumn>
    <tableColumn id="810" xr3:uid="{9675B1AC-FB49-4BD8-B6C4-B6A3ED85BAEA}" uniqueName="810" name="Column810" totalsRowFunction="custom" queryTableFieldId="810" dataDxfId="381" totalsRowDxfId="380">
      <totalsRowFormula>-AED7+$AX$7</totalsRowFormula>
    </tableColumn>
    <tableColumn id="811" xr3:uid="{E8F78F79-CD45-4750-893B-7F01E697A4E9}" uniqueName="811" name="Column811" totalsRowFunction="custom" queryTableFieldId="811" dataDxfId="379" totalsRowDxfId="378">
      <totalsRowFormula>-AEE7+$AX$7</totalsRowFormula>
    </tableColumn>
    <tableColumn id="812" xr3:uid="{E085EE5E-F219-4443-ABFC-844E84882968}" uniqueName="812" name="Column812" totalsRowFunction="custom" queryTableFieldId="812" dataDxfId="377" totalsRowDxfId="376">
      <totalsRowFormula>-AEF7+$AX$7</totalsRowFormula>
    </tableColumn>
    <tableColumn id="813" xr3:uid="{733BEC01-DA83-4D12-B249-AB28EA280E1E}" uniqueName="813" name="Column813" totalsRowFunction="custom" queryTableFieldId="813" dataDxfId="375" totalsRowDxfId="374">
      <totalsRowFormula>-AEG7+$AX$7</totalsRowFormula>
    </tableColumn>
    <tableColumn id="814" xr3:uid="{BF9AD2C6-FD74-4BBD-B225-B59DE72ADDAA}" uniqueName="814" name="Column814" totalsRowFunction="custom" queryTableFieldId="814" dataDxfId="373" totalsRowDxfId="372">
      <totalsRowFormula>-AEH7+$AX$7</totalsRowFormula>
    </tableColumn>
    <tableColumn id="815" xr3:uid="{7B996E1C-B349-4B49-96EA-3FD26E027C05}" uniqueName="815" name="Column815" totalsRowFunction="custom" queryTableFieldId="815" dataDxfId="371" totalsRowDxfId="370">
      <totalsRowFormula>-AEI7+$AX$7</totalsRowFormula>
    </tableColumn>
    <tableColumn id="816" xr3:uid="{1610EB28-680D-429C-8CD4-D922F3D1EC57}" uniqueName="816" name="Column816" totalsRowFunction="custom" queryTableFieldId="816" dataDxfId="369" totalsRowDxfId="368">
      <totalsRowFormula>-AEJ7+$AX$7</totalsRowFormula>
    </tableColumn>
    <tableColumn id="817" xr3:uid="{AAD26E3B-7D2C-4807-A86F-5152095C0511}" uniqueName="817" name="Column817" totalsRowFunction="custom" queryTableFieldId="817" dataDxfId="367" totalsRowDxfId="366">
      <totalsRowFormula>-AEK7+$AX$7</totalsRowFormula>
    </tableColumn>
    <tableColumn id="818" xr3:uid="{89290850-7A75-41E8-A07F-8A047D08B4D2}" uniqueName="818" name="Column818" totalsRowFunction="custom" queryTableFieldId="818" dataDxfId="365" totalsRowDxfId="364">
      <totalsRowFormula>-AEL7+$AX$7</totalsRowFormula>
    </tableColumn>
    <tableColumn id="819" xr3:uid="{03A8BF98-18A8-4DD2-BE95-BBEF8EF04FCD}" uniqueName="819" name="Column819" totalsRowFunction="custom" queryTableFieldId="819" dataDxfId="363" totalsRowDxfId="362">
      <totalsRowFormula>-AEM7+$AX$7</totalsRowFormula>
    </tableColumn>
    <tableColumn id="820" xr3:uid="{52DE9DE3-DC3F-48A5-B439-3735157FC28A}" uniqueName="820" name="Column820" totalsRowFunction="custom" queryTableFieldId="820" dataDxfId="361" totalsRowDxfId="360">
      <totalsRowFormula>-AEN7+$AX$7</totalsRowFormula>
    </tableColumn>
    <tableColumn id="821" xr3:uid="{969E12D6-96A5-4F7D-AB53-78D2179D2562}" uniqueName="821" name="Column821" totalsRowFunction="custom" queryTableFieldId="821" dataDxfId="359" totalsRowDxfId="358">
      <totalsRowFormula>-AEO7+$AX$7</totalsRowFormula>
    </tableColumn>
    <tableColumn id="822" xr3:uid="{723D498D-22A5-40F2-BB9A-67CB14CB426C}" uniqueName="822" name="Column822" totalsRowFunction="custom" queryTableFieldId="822" dataDxfId="357" totalsRowDxfId="356">
      <totalsRowFormula>-AEP7+$AX$7</totalsRowFormula>
    </tableColumn>
    <tableColumn id="823" xr3:uid="{A884B12E-CB32-4DCF-9B0D-FD311AE13447}" uniqueName="823" name="Column823" totalsRowFunction="custom" queryTableFieldId="823" dataDxfId="355" totalsRowDxfId="354">
      <totalsRowFormula>-AEQ7+$AX$7</totalsRowFormula>
    </tableColumn>
    <tableColumn id="824" xr3:uid="{653F9085-9A25-474B-A7A2-48FEE60305FD}" uniqueName="824" name="Column824" totalsRowFunction="custom" queryTableFieldId="824" dataDxfId="353" totalsRowDxfId="352">
      <totalsRowFormula>-AER7+$AX$7</totalsRowFormula>
    </tableColumn>
    <tableColumn id="825" xr3:uid="{30FA6DFF-4A9C-4F82-A986-83E4E910870B}" uniqueName="825" name="Column825" totalsRowFunction="custom" queryTableFieldId="825" dataDxfId="351" totalsRowDxfId="350">
      <totalsRowFormula>-AES7+$AX$7</totalsRowFormula>
    </tableColumn>
    <tableColumn id="826" xr3:uid="{346A29C0-2F4E-4A01-9C1E-96F80E6D6D68}" uniqueName="826" name="Column826" totalsRowFunction="custom" queryTableFieldId="826" dataDxfId="349" totalsRowDxfId="348">
      <totalsRowFormula>-AET7+$AX$7</totalsRowFormula>
    </tableColumn>
    <tableColumn id="827" xr3:uid="{F184B055-8A76-4822-BD84-AB85283DF9D0}" uniqueName="827" name="Column827" totalsRowFunction="custom" queryTableFieldId="827" dataDxfId="347" totalsRowDxfId="346">
      <totalsRowFormula>-AEU7+$AX$7</totalsRowFormula>
    </tableColumn>
    <tableColumn id="828" xr3:uid="{69C516A2-6D72-415C-BAD2-A5176F5F53A3}" uniqueName="828" name="Column828" totalsRowFunction="custom" queryTableFieldId="828" dataDxfId="345" totalsRowDxfId="344">
      <totalsRowFormula>-AEV7+$AX$7</totalsRowFormula>
    </tableColumn>
    <tableColumn id="829" xr3:uid="{9CBB8EBE-A961-49E5-A222-0761EE88015F}" uniqueName="829" name="Column829" totalsRowFunction="custom" queryTableFieldId="829" dataDxfId="343" totalsRowDxfId="342">
      <totalsRowFormula>-AEW7+$AX$7</totalsRowFormula>
    </tableColumn>
    <tableColumn id="830" xr3:uid="{FB40FA75-84AF-4DAB-BC7B-0D3FAAEF577E}" uniqueName="830" name="Column830" totalsRowFunction="custom" queryTableFieldId="830" dataDxfId="341" totalsRowDxfId="340">
      <totalsRowFormula>-AEX7+$AX$7</totalsRowFormula>
    </tableColumn>
    <tableColumn id="831" xr3:uid="{F3A34C4A-2412-4202-B6C6-113DC96F6543}" uniqueName="831" name="Column831" totalsRowFunction="custom" queryTableFieldId="831" dataDxfId="339" totalsRowDxfId="338">
      <totalsRowFormula>-AEY7+$AX$7</totalsRowFormula>
    </tableColumn>
    <tableColumn id="832" xr3:uid="{1F7FA6DC-A4E3-48A9-A2C4-64FA281D9B0F}" uniqueName="832" name="Column832" totalsRowFunction="custom" queryTableFieldId="832" dataDxfId="337" totalsRowDxfId="336">
      <totalsRowFormula>-AEZ7+$AX$7</totalsRowFormula>
    </tableColumn>
    <tableColumn id="833" xr3:uid="{2BBF44E4-A65E-4F60-A7D5-E7F1755B53AC}" uniqueName="833" name="Column833" totalsRowFunction="custom" queryTableFieldId="833" dataDxfId="335" totalsRowDxfId="334">
      <totalsRowFormula>-AFA7+$AX$7</totalsRowFormula>
    </tableColumn>
    <tableColumn id="834" xr3:uid="{EBDDB7F8-E636-4F9A-915A-64770EC0C938}" uniqueName="834" name="Column834" totalsRowFunction="custom" queryTableFieldId="834" dataDxfId="333" totalsRowDxfId="332">
      <totalsRowFormula>-AFB7+$AX$7</totalsRowFormula>
    </tableColumn>
    <tableColumn id="835" xr3:uid="{A7F66DC6-3A20-4E6D-809F-1CB637BAC72E}" uniqueName="835" name="Column835" totalsRowFunction="custom" queryTableFieldId="835" dataDxfId="331" totalsRowDxfId="330">
      <totalsRowFormula>-AFC7+$AX$7</totalsRowFormula>
    </tableColumn>
    <tableColumn id="836" xr3:uid="{F8E0E3FD-BBEA-435D-90EF-ACE81A01062A}" uniqueName="836" name="Column836" totalsRowFunction="custom" queryTableFieldId="836" dataDxfId="329" totalsRowDxfId="328">
      <totalsRowFormula>-AFD7+$AX$7</totalsRowFormula>
    </tableColumn>
    <tableColumn id="837" xr3:uid="{705D877B-836A-451F-99FE-0BD9A3E9A246}" uniqueName="837" name="Column837" totalsRowFunction="custom" queryTableFieldId="837" dataDxfId="327" totalsRowDxfId="326">
      <totalsRowFormula>-AFE7+$AX$7</totalsRowFormula>
    </tableColumn>
    <tableColumn id="838" xr3:uid="{271DA953-494E-4E3D-A743-A422C2BF6C23}" uniqueName="838" name="Column838" totalsRowFunction="custom" queryTableFieldId="838" dataDxfId="325" totalsRowDxfId="324">
      <totalsRowFormula>-AFF7+$AX$7</totalsRowFormula>
    </tableColumn>
    <tableColumn id="839" xr3:uid="{B7759618-CFFC-4B4C-8364-4E78D10B5282}" uniqueName="839" name="Column839" totalsRowFunction="custom" queryTableFieldId="839" dataDxfId="323" totalsRowDxfId="322">
      <totalsRowFormula>-AFG7+$AX$7</totalsRowFormula>
    </tableColumn>
    <tableColumn id="840" xr3:uid="{1781B827-9059-45B7-AF49-C8E65AFC317B}" uniqueName="840" name="Column840" totalsRowFunction="custom" queryTableFieldId="840" dataDxfId="321" totalsRowDxfId="320">
      <totalsRowFormula>-AFH7+$AX$7</totalsRowFormula>
    </tableColumn>
    <tableColumn id="841" xr3:uid="{507ADF55-0146-466E-BD45-015490FE34FE}" uniqueName="841" name="Column841" totalsRowFunction="custom" queryTableFieldId="841" dataDxfId="319" totalsRowDxfId="318">
      <totalsRowFormula>-AFI7+$AX$7</totalsRowFormula>
    </tableColumn>
    <tableColumn id="842" xr3:uid="{0A49767D-A787-4623-8CD6-8B79265E4081}" uniqueName="842" name="Column842" totalsRowFunction="custom" queryTableFieldId="842" dataDxfId="317" totalsRowDxfId="316">
      <totalsRowFormula>-AFJ7+$AX$7</totalsRowFormula>
    </tableColumn>
    <tableColumn id="843" xr3:uid="{1FA36313-633B-4F2E-A5B0-23E78CFB2ACA}" uniqueName="843" name="Column843" totalsRowFunction="custom" queryTableFieldId="843" dataDxfId="315" totalsRowDxfId="314">
      <totalsRowFormula>-AFK7+$AX$7</totalsRowFormula>
    </tableColumn>
    <tableColumn id="844" xr3:uid="{47B4F270-4F12-4E46-A056-C2B05581E6F0}" uniqueName="844" name="Column844" totalsRowFunction="custom" queryTableFieldId="844" dataDxfId="313" totalsRowDxfId="312">
      <totalsRowFormula>-AFL7+$AX$7</totalsRowFormula>
    </tableColumn>
    <tableColumn id="845" xr3:uid="{B11369CA-CF6A-4CF6-8A93-08298A35A64C}" uniqueName="845" name="Column845" totalsRowFunction="custom" queryTableFieldId="845" dataDxfId="311" totalsRowDxfId="310">
      <totalsRowFormula>-AFM7+$AX$7</totalsRowFormula>
    </tableColumn>
    <tableColumn id="846" xr3:uid="{22CF356A-A039-4FC7-9AA4-E931B2104307}" uniqueName="846" name="Column846" totalsRowFunction="custom" queryTableFieldId="846" dataDxfId="309" totalsRowDxfId="308">
      <totalsRowFormula>-AFN7+$AX$7</totalsRowFormula>
    </tableColumn>
    <tableColumn id="847" xr3:uid="{8C678789-6283-45F3-9AA4-F84529C6FE71}" uniqueName="847" name="Column847" totalsRowFunction="custom" queryTableFieldId="847" dataDxfId="307" totalsRowDxfId="306">
      <totalsRowFormula>-AFO7+$AX$7</totalsRowFormula>
    </tableColumn>
    <tableColumn id="848" xr3:uid="{CA0E592D-04A3-43DC-98FB-A2B44895C892}" uniqueName="848" name="Column848" totalsRowFunction="custom" queryTableFieldId="848" dataDxfId="305" totalsRowDxfId="304">
      <totalsRowFormula>-AFP7+$AX$7</totalsRowFormula>
    </tableColumn>
    <tableColumn id="849" xr3:uid="{665A0945-00B2-4DDF-AD11-F292B6EC93C9}" uniqueName="849" name="Column849" totalsRowFunction="custom" queryTableFieldId="849" dataDxfId="303" totalsRowDxfId="302">
      <totalsRowFormula>-AFQ7+$AX$7</totalsRowFormula>
    </tableColumn>
    <tableColumn id="850" xr3:uid="{2F25CD21-AEE1-4830-A23B-D29EE7DF6690}" uniqueName="850" name="Column850" totalsRowFunction="custom" queryTableFieldId="850" dataDxfId="301" totalsRowDxfId="300">
      <totalsRowFormula>-AFR7+$AX$7</totalsRowFormula>
    </tableColumn>
    <tableColumn id="851" xr3:uid="{8153E425-4B8E-4942-8F6C-54FBCA9616BA}" uniqueName="851" name="Column851" totalsRowFunction="custom" queryTableFieldId="851" dataDxfId="299" totalsRowDxfId="298">
      <totalsRowFormula>-AFS7+$AX$7</totalsRowFormula>
    </tableColumn>
    <tableColumn id="852" xr3:uid="{C7E0156D-773A-4013-9008-5676D0D0DFF7}" uniqueName="852" name="Column852" totalsRowFunction="custom" queryTableFieldId="852" dataDxfId="297" totalsRowDxfId="296">
      <totalsRowFormula>-AFT7+$AX$7</totalsRowFormula>
    </tableColumn>
    <tableColumn id="853" xr3:uid="{E33C83C8-FCA1-482D-A96B-3EB67FAD0729}" uniqueName="853" name="Column853" totalsRowFunction="custom" queryTableFieldId="853" dataDxfId="295" totalsRowDxfId="294">
      <totalsRowFormula>-AFU7+$AX$7</totalsRowFormula>
    </tableColumn>
    <tableColumn id="854" xr3:uid="{24511A3F-0710-40A4-89BE-B1925DB99A89}" uniqueName="854" name="Column854" totalsRowFunction="custom" queryTableFieldId="854" dataDxfId="293" totalsRowDxfId="292">
      <totalsRowFormula>-AFV7+$AX$7</totalsRowFormula>
    </tableColumn>
    <tableColumn id="855" xr3:uid="{A687B714-2E20-4546-9251-3D4FEE8B7FB8}" uniqueName="855" name="Column855" totalsRowFunction="custom" queryTableFieldId="855" dataDxfId="291" totalsRowDxfId="290">
      <totalsRowFormula>-AFW7+$AX$7</totalsRowFormula>
    </tableColumn>
    <tableColumn id="856" xr3:uid="{1931D681-7A13-4D78-86F2-4345950EDEF3}" uniqueName="856" name="Column856" totalsRowFunction="custom" queryTableFieldId="856" dataDxfId="289" totalsRowDxfId="288">
      <totalsRowFormula>-AFX7+$AX$7</totalsRowFormula>
    </tableColumn>
    <tableColumn id="857" xr3:uid="{803C7A35-4258-46BE-8947-9136365E4B0A}" uniqueName="857" name="Column857" totalsRowFunction="custom" queryTableFieldId="857" dataDxfId="287" totalsRowDxfId="286">
      <totalsRowFormula>-AFY7+$AX$7</totalsRowFormula>
    </tableColumn>
    <tableColumn id="858" xr3:uid="{B5772F97-E24E-474B-81A2-E9187785B261}" uniqueName="858" name="Column858" totalsRowFunction="custom" queryTableFieldId="858" dataDxfId="285" totalsRowDxfId="284">
      <totalsRowFormula>-AFZ7+$AX$7</totalsRowFormula>
    </tableColumn>
    <tableColumn id="859" xr3:uid="{3E4FFBEE-0C86-4E93-8F9E-421867509B45}" uniqueName="859" name="Column859" totalsRowFunction="custom" queryTableFieldId="859" dataDxfId="283" totalsRowDxfId="282">
      <totalsRowFormula>-AGA7+$AX$7</totalsRowFormula>
    </tableColumn>
    <tableColumn id="860" xr3:uid="{3845B97A-F011-413C-B96B-F6C92708F115}" uniqueName="860" name="Column860" totalsRowFunction="custom" queryTableFieldId="860" dataDxfId="281" totalsRowDxfId="280">
      <totalsRowFormula>-AGB7+$AX$7</totalsRowFormula>
    </tableColumn>
    <tableColumn id="861" xr3:uid="{4A0EC1F6-5704-44BF-85A9-1CE938992C45}" uniqueName="861" name="Column861" totalsRowFunction="custom" queryTableFieldId="861" dataDxfId="279" totalsRowDxfId="278">
      <totalsRowFormula>-AGC7+$AX$7</totalsRowFormula>
    </tableColumn>
    <tableColumn id="862" xr3:uid="{AA2ECD3C-A3D3-4F98-903A-337CA36F95D0}" uniqueName="862" name="Column862" totalsRowFunction="custom" queryTableFieldId="862" dataDxfId="277" totalsRowDxfId="276">
      <totalsRowFormula>-AGD7+$AX$7</totalsRowFormula>
    </tableColumn>
    <tableColumn id="863" xr3:uid="{09C73963-FB8D-4633-A063-13569D549E17}" uniqueName="863" name="Column863" totalsRowFunction="custom" queryTableFieldId="863" dataDxfId="275" totalsRowDxfId="274">
      <totalsRowFormula>-AGE7+$AX$7</totalsRowFormula>
    </tableColumn>
    <tableColumn id="864" xr3:uid="{F66DEF5E-7B36-4407-AD8D-D1F74C4336A4}" uniqueName="864" name="Column864" totalsRowFunction="custom" queryTableFieldId="864" dataDxfId="273" totalsRowDxfId="272">
      <totalsRowFormula>-AGF7+$AX$7</totalsRowFormula>
    </tableColumn>
    <tableColumn id="865" xr3:uid="{BDFB8DD0-7D2F-48D1-9B82-91EF24B5A04C}" uniqueName="865" name="Column865" totalsRowFunction="custom" queryTableFieldId="865" dataDxfId="271" totalsRowDxfId="270">
      <totalsRowFormula>-AGG7+$AX$7</totalsRowFormula>
    </tableColumn>
    <tableColumn id="866" xr3:uid="{BDC275A7-106E-4791-A421-7C327F501E8A}" uniqueName="866" name="Column866" totalsRowFunction="custom" queryTableFieldId="866" dataDxfId="269" totalsRowDxfId="268">
      <totalsRowFormula>-AGH7+$AX$7</totalsRowFormula>
    </tableColumn>
    <tableColumn id="867" xr3:uid="{F527A94C-FCCD-4C7D-BFCD-F4F6CF5D5F89}" uniqueName="867" name="Column867" totalsRowFunction="custom" queryTableFieldId="867" dataDxfId="267" totalsRowDxfId="266">
      <totalsRowFormula>-AGI7+$AX$7</totalsRowFormula>
    </tableColumn>
    <tableColumn id="868" xr3:uid="{616F207A-073F-422D-89A1-1D9D3F68449E}" uniqueName="868" name="Column868" totalsRowFunction="custom" queryTableFieldId="868" dataDxfId="265" totalsRowDxfId="264">
      <totalsRowFormula>-AGJ7+$AX$7</totalsRowFormula>
    </tableColumn>
    <tableColumn id="869" xr3:uid="{2541B68D-4D0A-4154-9127-3F1C5F843B8C}" uniqueName="869" name="Column869" totalsRowFunction="custom" queryTableFieldId="869" dataDxfId="263" totalsRowDxfId="262">
      <totalsRowFormula>-AGK7+$AX$7</totalsRowFormula>
    </tableColumn>
    <tableColumn id="870" xr3:uid="{406815AE-AC01-4FCD-BF81-8A2891FEA03A}" uniqueName="870" name="Column870" totalsRowFunction="custom" queryTableFieldId="870" dataDxfId="261" totalsRowDxfId="260">
      <totalsRowFormula>-AGL7+$AX$7</totalsRowFormula>
    </tableColumn>
    <tableColumn id="871" xr3:uid="{7047E3F2-4FF4-4167-B8B7-79C24DC94BE9}" uniqueName="871" name="Column871" totalsRowFunction="custom" queryTableFieldId="871" dataDxfId="259" totalsRowDxfId="258">
      <totalsRowFormula>-AGM7+$AX$7</totalsRowFormula>
    </tableColumn>
    <tableColumn id="872" xr3:uid="{36496B5C-99AF-4871-B46F-A4E58B1124FE}" uniqueName="872" name="Column872" totalsRowFunction="custom" queryTableFieldId="872" dataDxfId="257" totalsRowDxfId="256">
      <totalsRowFormula>-AGN7+$AX$7</totalsRowFormula>
    </tableColumn>
    <tableColumn id="873" xr3:uid="{54051BEF-677C-4F3D-96F2-F8C05CE05047}" uniqueName="873" name="Column873" totalsRowFunction="custom" queryTableFieldId="873" dataDxfId="255" totalsRowDxfId="254">
      <totalsRowFormula>-AGO7+$AX$7</totalsRowFormula>
    </tableColumn>
    <tableColumn id="874" xr3:uid="{999F8A75-796C-4978-B112-30F3759DFAD4}" uniqueName="874" name="Column874" totalsRowFunction="custom" queryTableFieldId="874" dataDxfId="253" totalsRowDxfId="252">
      <totalsRowFormula>-AGP7+$AX$7</totalsRowFormula>
    </tableColumn>
    <tableColumn id="875" xr3:uid="{4154B7E9-2246-4895-986E-B587B9B8CECE}" uniqueName="875" name="Column875" totalsRowFunction="custom" queryTableFieldId="875" dataDxfId="251" totalsRowDxfId="250">
      <totalsRowFormula>-AGQ7+$AX$7</totalsRowFormula>
    </tableColumn>
    <tableColumn id="876" xr3:uid="{B277316E-3D8A-4B2A-899E-9A5ACE8A8E4C}" uniqueName="876" name="Column876" totalsRowFunction="custom" queryTableFieldId="876" dataDxfId="249" totalsRowDxfId="248">
      <totalsRowFormula>-AGR7+$AX$7</totalsRowFormula>
    </tableColumn>
    <tableColumn id="877" xr3:uid="{3A7AF573-5723-4577-B5E4-1CF9FF8CB160}" uniqueName="877" name="Column877" totalsRowFunction="custom" queryTableFieldId="877" dataDxfId="247" totalsRowDxfId="246">
      <totalsRowFormula>-AGS7+$AX$7</totalsRowFormula>
    </tableColumn>
    <tableColumn id="878" xr3:uid="{85B77B54-D4C3-411B-A3FF-DF530FA3D808}" uniqueName="878" name="Column878" totalsRowFunction="custom" queryTableFieldId="878" dataDxfId="245" totalsRowDxfId="244">
      <totalsRowFormula>-AGT7+$AX$7</totalsRowFormula>
    </tableColumn>
    <tableColumn id="879" xr3:uid="{186DF95A-2EB2-48AF-9018-D83C25D3C36A}" uniqueName="879" name="Column879" totalsRowFunction="custom" queryTableFieldId="879" dataDxfId="243" totalsRowDxfId="242">
      <totalsRowFormula>-AGU7+$AX$7</totalsRowFormula>
    </tableColumn>
    <tableColumn id="880" xr3:uid="{3C9D08FB-239D-4987-9C6D-A0A3F20D26C5}" uniqueName="880" name="Column880" totalsRowFunction="custom" queryTableFieldId="880" dataDxfId="241" totalsRowDxfId="240">
      <totalsRowFormula>-AGV7+$AX$7</totalsRowFormula>
    </tableColumn>
    <tableColumn id="881" xr3:uid="{7F128353-2CB8-40F3-AADD-FF748444A002}" uniqueName="881" name="Column881" totalsRowFunction="custom" queryTableFieldId="881" dataDxfId="239" totalsRowDxfId="238">
      <totalsRowFormula>-AGW7+$AX$7</totalsRowFormula>
    </tableColumn>
    <tableColumn id="882" xr3:uid="{9371C243-6C79-412A-8688-6EAA769BA5CE}" uniqueName="882" name="Column882" totalsRowFunction="custom" queryTableFieldId="882" dataDxfId="237" totalsRowDxfId="236">
      <totalsRowFormula>-AGX7+$AX$7</totalsRowFormula>
    </tableColumn>
    <tableColumn id="883" xr3:uid="{981C37D3-AC7B-4781-A156-BA6B8201B393}" uniqueName="883" name="Column883" totalsRowFunction="custom" queryTableFieldId="883" dataDxfId="235" totalsRowDxfId="234">
      <totalsRowFormula>-AGY7+$AX$7</totalsRowFormula>
    </tableColumn>
    <tableColumn id="884" xr3:uid="{BB908E65-B167-4490-B832-ECEFA83601AA}" uniqueName="884" name="Column884" totalsRowFunction="custom" queryTableFieldId="884" dataDxfId="233" totalsRowDxfId="232">
      <totalsRowFormula>-AGZ7+$AX$7</totalsRowFormula>
    </tableColumn>
    <tableColumn id="885" xr3:uid="{D8B42E4F-1873-482D-9331-E32AEC86F002}" uniqueName="885" name="Column885" totalsRowFunction="custom" queryTableFieldId="885" dataDxfId="231" totalsRowDxfId="230">
      <totalsRowFormula>-AHA7+$AX$7</totalsRowFormula>
    </tableColumn>
    <tableColumn id="886" xr3:uid="{02A00620-76F7-43F8-ABA9-D22D97B5D9A5}" uniqueName="886" name="Column886" totalsRowFunction="custom" queryTableFieldId="886" dataDxfId="229" totalsRowDxfId="228">
      <totalsRowFormula>-AHB7+$AX$7</totalsRowFormula>
    </tableColumn>
    <tableColumn id="887" xr3:uid="{FA041940-13D6-40A2-885F-C5AC2C0388A4}" uniqueName="887" name="Column887" totalsRowFunction="custom" queryTableFieldId="887" dataDxfId="227" totalsRowDxfId="226">
      <totalsRowFormula>-AHC7+$AX$7</totalsRowFormula>
    </tableColumn>
    <tableColumn id="888" xr3:uid="{6F0AF5D2-12F0-4446-9F31-FCDD410F9AF7}" uniqueName="888" name="Column888" totalsRowFunction="custom" queryTableFieldId="888" dataDxfId="225" totalsRowDxfId="224">
      <totalsRowFormula>-AHD7+$AX$7</totalsRowFormula>
    </tableColumn>
    <tableColumn id="889" xr3:uid="{93CF193C-CC65-4095-8AD1-64914525CCE8}" uniqueName="889" name="Column889" totalsRowFunction="custom" queryTableFieldId="889" dataDxfId="223" totalsRowDxfId="222">
      <totalsRowFormula>-AHE7+$AX$7</totalsRowFormula>
    </tableColumn>
    <tableColumn id="890" xr3:uid="{258D4913-0CE6-47FC-ADFB-5B8C72A9B4A8}" uniqueName="890" name="Column890" totalsRowFunction="custom" queryTableFieldId="890" dataDxfId="221" totalsRowDxfId="220">
      <totalsRowFormula>-AHF7+$AX$7</totalsRowFormula>
    </tableColumn>
    <tableColumn id="891" xr3:uid="{B9D804C8-C064-4947-91EF-0755BB0228C2}" uniqueName="891" name="Column891" totalsRowFunction="custom" queryTableFieldId="891" dataDxfId="219" totalsRowDxfId="218">
      <totalsRowFormula>-AHG7+$AX$7</totalsRowFormula>
    </tableColumn>
    <tableColumn id="892" xr3:uid="{A1599411-2798-470F-94BE-795D776BE374}" uniqueName="892" name="Column892" totalsRowFunction="custom" queryTableFieldId="892" dataDxfId="217" totalsRowDxfId="216">
      <totalsRowFormula>-AHH7+$AX$7</totalsRowFormula>
    </tableColumn>
    <tableColumn id="893" xr3:uid="{07391984-238C-408B-98BB-8EAABD7D83A1}" uniqueName="893" name="Column893" totalsRowFunction="custom" queryTableFieldId="893" dataDxfId="215" totalsRowDxfId="214">
      <totalsRowFormula>-AHI7+$AX$7</totalsRowFormula>
    </tableColumn>
    <tableColumn id="894" xr3:uid="{D11FECD3-0A3C-49D1-AF19-1F07931B5C6A}" uniqueName="894" name="Column894" totalsRowFunction="custom" queryTableFieldId="894" dataDxfId="213" totalsRowDxfId="212">
      <totalsRowFormula>-AHJ7+$AX$7</totalsRowFormula>
    </tableColumn>
    <tableColumn id="895" xr3:uid="{38940908-AD65-4C21-BB97-196E4AA2EBF9}" uniqueName="895" name="Column895" totalsRowFunction="custom" queryTableFieldId="895" dataDxfId="211" totalsRowDxfId="210">
      <totalsRowFormula>-AHK7+$AX$7</totalsRowFormula>
    </tableColumn>
    <tableColumn id="896" xr3:uid="{BDE5FA6A-2624-492B-A5D2-264AAFFCBA61}" uniqueName="896" name="Column896" totalsRowFunction="custom" queryTableFieldId="896" dataDxfId="209" totalsRowDxfId="208">
      <totalsRowFormula>-AHL7+$AX$7</totalsRowFormula>
    </tableColumn>
    <tableColumn id="897" xr3:uid="{6C2B512E-28D7-486E-9086-F453DE49B2FA}" uniqueName="897" name="Column897" totalsRowFunction="custom" queryTableFieldId="897" dataDxfId="207" totalsRowDxfId="206">
      <totalsRowFormula>-AHM7+$AX$7</totalsRowFormula>
    </tableColumn>
    <tableColumn id="898" xr3:uid="{C905F9EB-EE7B-4E34-93CE-B660E7B89A20}" uniqueName="898" name="Column898" totalsRowFunction="custom" queryTableFieldId="898" dataDxfId="205" totalsRowDxfId="204">
      <totalsRowFormula>-AHN7+$AX$7</totalsRowFormula>
    </tableColumn>
    <tableColumn id="899" xr3:uid="{A475107B-E4B2-4E2E-8887-52D5ABD6FBDC}" uniqueName="899" name="Column899" totalsRowFunction="custom" queryTableFieldId="899" dataDxfId="203" totalsRowDxfId="202">
      <totalsRowFormula>-AHO7+$AX$7</totalsRowFormula>
    </tableColumn>
    <tableColumn id="900" xr3:uid="{1F9918DE-9A12-4832-9A9C-159B33F52E33}" uniqueName="900" name="Column900" totalsRowFunction="custom" queryTableFieldId="900" dataDxfId="201" totalsRowDxfId="200">
      <totalsRowFormula>-AHP7+$AX$7</totalsRowFormula>
    </tableColumn>
    <tableColumn id="901" xr3:uid="{5C5E8904-1DA6-440D-B460-AF23B0FF13E8}" uniqueName="901" name="Column901" totalsRowFunction="custom" queryTableFieldId="901" dataDxfId="199" totalsRowDxfId="198">
      <totalsRowFormula>-AHQ7+$AX$7</totalsRowFormula>
    </tableColumn>
    <tableColumn id="902" xr3:uid="{E09A1C6C-14CA-4586-96C3-647D6BF14245}" uniqueName="902" name="Column902" totalsRowFunction="custom" queryTableFieldId="902" dataDxfId="197" totalsRowDxfId="196">
      <totalsRowFormula>-AHR7+$AX$7</totalsRowFormula>
    </tableColumn>
    <tableColumn id="903" xr3:uid="{D2DAEA55-7205-496C-954B-304F79DFA6FD}" uniqueName="903" name="Column903" totalsRowFunction="custom" queryTableFieldId="903" dataDxfId="195" totalsRowDxfId="194">
      <totalsRowFormula>-AHS7+$AX$7</totalsRowFormula>
    </tableColumn>
    <tableColumn id="904" xr3:uid="{6D605EEB-91C7-414F-93A3-669B5012DB3F}" uniqueName="904" name="Column904" totalsRowFunction="custom" queryTableFieldId="904" dataDxfId="193" totalsRowDxfId="192">
      <totalsRowFormula>-AHT7+$AX$7</totalsRowFormula>
    </tableColumn>
    <tableColumn id="905" xr3:uid="{E4CCCDA7-F975-4404-8BC1-52B48EA5F608}" uniqueName="905" name="Column905" totalsRowFunction="custom" queryTableFieldId="905" dataDxfId="191" totalsRowDxfId="190">
      <totalsRowFormula>-AHU7+$AX$7</totalsRowFormula>
    </tableColumn>
    <tableColumn id="906" xr3:uid="{C449C828-49E4-4F27-965A-5B731C291233}" uniqueName="906" name="Column906" totalsRowFunction="custom" queryTableFieldId="906" dataDxfId="189" totalsRowDxfId="188">
      <totalsRowFormula>-AHV7+$AX$7</totalsRowFormula>
    </tableColumn>
    <tableColumn id="907" xr3:uid="{5F315300-C488-4BC7-91B2-0293AB291F53}" uniqueName="907" name="Column907" totalsRowFunction="custom" queryTableFieldId="907" dataDxfId="187" totalsRowDxfId="186">
      <totalsRowFormula>-AHW7+$AX$7</totalsRowFormula>
    </tableColumn>
    <tableColumn id="908" xr3:uid="{38737C5B-D896-403B-9B96-9F698C6E64B4}" uniqueName="908" name="Column908" totalsRowFunction="custom" queryTableFieldId="908" dataDxfId="185" totalsRowDxfId="184">
      <totalsRowFormula>-AHX7+$AX$7</totalsRowFormula>
    </tableColumn>
    <tableColumn id="909" xr3:uid="{ADC14057-931B-48D0-B8C8-EC9F86FDE8DE}" uniqueName="909" name="Column909" totalsRowFunction="custom" queryTableFieldId="909" dataDxfId="183" totalsRowDxfId="182">
      <totalsRowFormula>-AHY7+$AX$7</totalsRowFormula>
    </tableColumn>
    <tableColumn id="910" xr3:uid="{900D0E4E-3160-4CBF-AF4E-7948FD99832B}" uniqueName="910" name="Column910" totalsRowFunction="custom" queryTableFieldId="910" dataDxfId="181" totalsRowDxfId="180">
      <totalsRowFormula>-AHZ7+$AX$7</totalsRowFormula>
    </tableColumn>
    <tableColumn id="911" xr3:uid="{2598D0B4-CCE0-4021-BA98-7D0EA8D40F03}" uniqueName="911" name="Column911" totalsRowFunction="custom" queryTableFieldId="911" dataDxfId="179" totalsRowDxfId="178">
      <totalsRowFormula>-AIA7+$AX$7</totalsRowFormula>
    </tableColumn>
    <tableColumn id="912" xr3:uid="{B8E1C41E-F09E-46F7-ACFE-774DBA087325}" uniqueName="912" name="Column912" totalsRowFunction="custom" queryTableFieldId="912" dataDxfId="177" totalsRowDxfId="176">
      <totalsRowFormula>-AIB7+$AX$7</totalsRowFormula>
    </tableColumn>
    <tableColumn id="913" xr3:uid="{B8FB0F54-5CE0-425E-BECE-88DB344E5256}" uniqueName="913" name="Column913" totalsRowFunction="custom" queryTableFieldId="913" dataDxfId="175" totalsRowDxfId="174">
      <totalsRowFormula>-AIC7+$AX$7</totalsRowFormula>
    </tableColumn>
    <tableColumn id="914" xr3:uid="{A82D6950-AE85-4893-B849-2FB57D8EE00E}" uniqueName="914" name="Column914" totalsRowFunction="custom" queryTableFieldId="914" dataDxfId="173" totalsRowDxfId="172">
      <totalsRowFormula>-AID7+$AX$7</totalsRowFormula>
    </tableColumn>
    <tableColumn id="915" xr3:uid="{0BB6434B-F18A-4442-9FBB-8812F5EDE5C5}" uniqueName="915" name="Column915" totalsRowFunction="custom" queryTableFieldId="915" dataDxfId="171" totalsRowDxfId="170">
      <totalsRowFormula>-AIE7+$AX$7</totalsRowFormula>
    </tableColumn>
    <tableColumn id="916" xr3:uid="{27C0DEB2-00E2-4440-BD5F-22225BBCAC2F}" uniqueName="916" name="Column916" totalsRowFunction="custom" queryTableFieldId="916" dataDxfId="169" totalsRowDxfId="168">
      <totalsRowFormula>-AIF7+$AX$7</totalsRowFormula>
    </tableColumn>
    <tableColumn id="917" xr3:uid="{26569413-8560-41CB-BD31-4A03482EC6DE}" uniqueName="917" name="Column917" totalsRowFunction="custom" queryTableFieldId="917" dataDxfId="167" totalsRowDxfId="166">
      <totalsRowFormula>-AIG7+$AX$7</totalsRowFormula>
    </tableColumn>
    <tableColumn id="918" xr3:uid="{26B67944-7A7E-4379-ACA8-47D28F42257D}" uniqueName="918" name="Column918" totalsRowFunction="custom" queryTableFieldId="918" dataDxfId="165" totalsRowDxfId="164">
      <totalsRowFormula>-AIH7+$AX$7</totalsRowFormula>
    </tableColumn>
    <tableColumn id="919" xr3:uid="{5299C004-53CE-430A-B33B-71ADB5C1A7E0}" uniqueName="919" name="Column919" totalsRowFunction="custom" queryTableFieldId="919" dataDxfId="163" totalsRowDxfId="162">
      <totalsRowFormula>-AII7+$AX$7</totalsRowFormula>
    </tableColumn>
    <tableColumn id="920" xr3:uid="{1194FA15-C3F7-4650-8D75-7A5B8AAEBA3C}" uniqueName="920" name="Column920" totalsRowFunction="custom" queryTableFieldId="920" dataDxfId="161" totalsRowDxfId="160">
      <totalsRowFormula>-AIJ7+$AX$7</totalsRowFormula>
    </tableColumn>
    <tableColumn id="921" xr3:uid="{8973590B-FCDD-4E2E-B661-788F7781B640}" uniqueName="921" name="Column921" totalsRowFunction="custom" queryTableFieldId="921" dataDxfId="159" totalsRowDxfId="158">
      <totalsRowFormula>-AIK7+$AX$7</totalsRowFormula>
    </tableColumn>
    <tableColumn id="922" xr3:uid="{D8F699B1-9F56-4555-9998-57B7403287E5}" uniqueName="922" name="Column922" totalsRowFunction="custom" queryTableFieldId="922" dataDxfId="157" totalsRowDxfId="156">
      <totalsRowFormula>-AIL7+$AX$7</totalsRowFormula>
    </tableColumn>
    <tableColumn id="923" xr3:uid="{584D6522-F277-4CB0-985E-5A4F62DD881F}" uniqueName="923" name="Column923" totalsRowFunction="custom" queryTableFieldId="923" dataDxfId="155" totalsRowDxfId="154">
      <totalsRowFormula>-AIM7+$AX$7</totalsRowFormula>
    </tableColumn>
    <tableColumn id="924" xr3:uid="{9667AC12-996F-4B5A-AD63-34F218AB3883}" uniqueName="924" name="Column924" totalsRowFunction="custom" queryTableFieldId="924" dataDxfId="153" totalsRowDxfId="152">
      <totalsRowFormula>-AIN7+$AX$7</totalsRowFormula>
    </tableColumn>
    <tableColumn id="925" xr3:uid="{E43A6673-C6A7-4761-92F0-9591B503AC4A}" uniqueName="925" name="Column925" totalsRowFunction="custom" queryTableFieldId="925" dataDxfId="151" totalsRowDxfId="150">
      <totalsRowFormula>-AIO7+$AX$7</totalsRowFormula>
    </tableColumn>
    <tableColumn id="926" xr3:uid="{7B185E17-40C2-4BF2-82C4-FC2B62A58748}" uniqueName="926" name="Column926" totalsRowFunction="custom" queryTableFieldId="926" dataDxfId="149" totalsRowDxfId="148">
      <totalsRowFormula>-AIP7+$AX$7</totalsRowFormula>
    </tableColumn>
    <tableColumn id="927" xr3:uid="{9CE72235-B21E-4EF4-9892-4A0C0648C2DE}" uniqueName="927" name="Column927" totalsRowFunction="custom" queryTableFieldId="927" dataDxfId="147" totalsRowDxfId="146">
      <totalsRowFormula>-AIQ7+$AX$7</totalsRowFormula>
    </tableColumn>
    <tableColumn id="928" xr3:uid="{83584451-A160-4C06-B35A-B9FEF567AC47}" uniqueName="928" name="Column928" totalsRowFunction="custom" queryTableFieldId="928" dataDxfId="145" totalsRowDxfId="144">
      <totalsRowFormula>-AIR7+$AX$7</totalsRowFormula>
    </tableColumn>
    <tableColumn id="929" xr3:uid="{D2DF29F5-8D45-45A8-B3C4-4658E298AE9B}" uniqueName="929" name="Column929" totalsRowFunction="custom" queryTableFieldId="929" dataDxfId="143" totalsRowDxfId="142">
      <totalsRowFormula>-AIS7+$AX$7</totalsRowFormula>
    </tableColumn>
    <tableColumn id="930" xr3:uid="{33721543-6D81-4FB5-AC8C-0A21706C7B36}" uniqueName="930" name="Column930" totalsRowFunction="custom" queryTableFieldId="930" dataDxfId="141" totalsRowDxfId="140">
      <totalsRowFormula>-AIT7+$AX$7</totalsRowFormula>
    </tableColumn>
    <tableColumn id="931" xr3:uid="{7AEB4642-742A-4B00-9F6E-1FE06330D59E}" uniqueName="931" name="Column931" totalsRowFunction="custom" queryTableFieldId="931" dataDxfId="139" totalsRowDxfId="138">
      <totalsRowFormula>-AIU7+$AX$7</totalsRowFormula>
    </tableColumn>
    <tableColumn id="932" xr3:uid="{A54B1E88-B636-4297-A3F3-27FD1A1994DD}" uniqueName="932" name="Column932" totalsRowFunction="custom" queryTableFieldId="932" dataDxfId="137" totalsRowDxfId="136">
      <totalsRowFormula>-AIV7+$AX$7</totalsRowFormula>
    </tableColumn>
    <tableColumn id="933" xr3:uid="{118BD25B-92F7-48C7-8CFC-A156C273DBB9}" uniqueName="933" name="Column933" totalsRowFunction="custom" queryTableFieldId="933" dataDxfId="135" totalsRowDxfId="134">
      <totalsRowFormula>-AIW7+$AX$7</totalsRowFormula>
    </tableColumn>
    <tableColumn id="934" xr3:uid="{71CD1398-0F94-4028-91A1-BB539D88916A}" uniqueName="934" name="Column934" totalsRowFunction="custom" queryTableFieldId="934" dataDxfId="133" totalsRowDxfId="132">
      <totalsRowFormula>-AIX7+$AX$7</totalsRowFormula>
    </tableColumn>
    <tableColumn id="935" xr3:uid="{05C4530C-08FB-48D5-96BF-2958FD78C0F8}" uniqueName="935" name="Column935" totalsRowFunction="custom" queryTableFieldId="935" dataDxfId="131" totalsRowDxfId="130">
      <totalsRowFormula>-AIY7+$AX$7</totalsRowFormula>
    </tableColumn>
    <tableColumn id="936" xr3:uid="{BD164651-B180-4A23-94C8-6F1A7E87B555}" uniqueName="936" name="Column936" totalsRowFunction="custom" queryTableFieldId="936" dataDxfId="129" totalsRowDxfId="128">
      <totalsRowFormula>-AIZ7+$AX$7</totalsRowFormula>
    </tableColumn>
    <tableColumn id="937" xr3:uid="{EB95F820-1205-4FF9-93D0-86F69FBCEB22}" uniqueName="937" name="Column937" totalsRowFunction="custom" queryTableFieldId="937" dataDxfId="127" totalsRowDxfId="126">
      <totalsRowFormula>-AJA7+$AX$7</totalsRowFormula>
    </tableColumn>
    <tableColumn id="938" xr3:uid="{BA4C7E3D-BF1B-4EFA-ADA8-414273513C4B}" uniqueName="938" name="Column938" totalsRowFunction="custom" queryTableFieldId="938" dataDxfId="125" totalsRowDxfId="124">
      <totalsRowFormula>-AJB7+$AX$7</totalsRowFormula>
    </tableColumn>
    <tableColumn id="939" xr3:uid="{BEC16FF6-54B3-4101-A87A-2D71A400DB42}" uniqueName="939" name="Column939" totalsRowFunction="custom" queryTableFieldId="939" dataDxfId="123" totalsRowDxfId="122">
      <totalsRowFormula>-AJC7+$AX$7</totalsRowFormula>
    </tableColumn>
    <tableColumn id="940" xr3:uid="{559A0CC3-A7E1-49EE-A586-804AC7C4BAA4}" uniqueName="940" name="Column940" totalsRowFunction="custom" queryTableFieldId="940" dataDxfId="121" totalsRowDxfId="120">
      <totalsRowFormula>-AJD7+$AX$7</totalsRowFormula>
    </tableColumn>
    <tableColumn id="941" xr3:uid="{266F4198-B3A7-4F6D-BA90-45EFFE8C7226}" uniqueName="941" name="Column941" totalsRowFunction="custom" queryTableFieldId="941" dataDxfId="119" totalsRowDxfId="118">
      <totalsRowFormula>-AJE7+$AX$7</totalsRowFormula>
    </tableColumn>
    <tableColumn id="942" xr3:uid="{CB26A2B3-2C30-44D5-A4ED-C89C0EA07A19}" uniqueName="942" name="Column942" totalsRowFunction="custom" queryTableFieldId="942" dataDxfId="117" totalsRowDxfId="116">
      <totalsRowFormula>-AJF7+$AX$7</totalsRowFormula>
    </tableColumn>
    <tableColumn id="943" xr3:uid="{472A5F1A-6AFC-4B7A-9ED6-B5D10F963412}" uniqueName="943" name="Column943" totalsRowFunction="custom" queryTableFieldId="943" dataDxfId="115" totalsRowDxfId="114">
      <totalsRowFormula>-AJG7+$AX$7</totalsRowFormula>
    </tableColumn>
    <tableColumn id="944" xr3:uid="{B432E773-2A80-4B0A-9A3D-34D08D601B8F}" uniqueName="944" name="Column944" totalsRowFunction="custom" queryTableFieldId="944" dataDxfId="113" totalsRowDxfId="112">
      <totalsRowFormula>-AJH7+$AX$7</totalsRowFormula>
    </tableColumn>
    <tableColumn id="945" xr3:uid="{46C70980-0B95-4C6E-BCF1-04A52BA66C8E}" uniqueName="945" name="Column945" totalsRowFunction="custom" queryTableFieldId="945" dataDxfId="111" totalsRowDxfId="110">
      <totalsRowFormula>-AJI7+$AX$7</totalsRowFormula>
    </tableColumn>
    <tableColumn id="946" xr3:uid="{61192BA6-0892-4830-8B35-78D9C99BD236}" uniqueName="946" name="Column946" totalsRowFunction="custom" queryTableFieldId="946" dataDxfId="109" totalsRowDxfId="108">
      <totalsRowFormula>-AJJ7+$AX$7</totalsRowFormula>
    </tableColumn>
    <tableColumn id="947" xr3:uid="{5A038414-AA05-4AA4-98FB-AA4C7725E834}" uniqueName="947" name="Column947" totalsRowFunction="custom" queryTableFieldId="947" dataDxfId="107" totalsRowDxfId="106">
      <totalsRowFormula>-AJK7+$AX$7</totalsRowFormula>
    </tableColumn>
    <tableColumn id="948" xr3:uid="{094D1F28-B936-424F-A0DE-F9744157D578}" uniqueName="948" name="Column948" totalsRowFunction="custom" queryTableFieldId="948" dataDxfId="105" totalsRowDxfId="104">
      <totalsRowFormula>-AJL7+$AX$7</totalsRowFormula>
    </tableColumn>
    <tableColumn id="949" xr3:uid="{C59C1781-56D4-4794-99B4-E22702CBE2EE}" uniqueName="949" name="Column949" totalsRowFunction="custom" queryTableFieldId="949" dataDxfId="103" totalsRowDxfId="102">
      <totalsRowFormula>-AJM7+$AX$7</totalsRowFormula>
    </tableColumn>
    <tableColumn id="950" xr3:uid="{C9916E19-C9C7-48DD-B5D7-700001657034}" uniqueName="950" name="Column950" totalsRowFunction="custom" queryTableFieldId="950" dataDxfId="101" totalsRowDxfId="100">
      <totalsRowFormula>-AJN7+$AX$7</totalsRowFormula>
    </tableColumn>
    <tableColumn id="951" xr3:uid="{2B10A7EC-410F-47F6-8A84-3822C72E0862}" uniqueName="951" name="Column951" totalsRowFunction="custom" queryTableFieldId="951" dataDxfId="99" totalsRowDxfId="98">
      <totalsRowFormula>-AJO7+$AX$7</totalsRowFormula>
    </tableColumn>
    <tableColumn id="952" xr3:uid="{58B0F615-4C94-41B1-BD00-282613792978}" uniqueName="952" name="Column952" totalsRowFunction="custom" queryTableFieldId="952" dataDxfId="97" totalsRowDxfId="96">
      <totalsRowFormula>-AJP7+$AX$7</totalsRowFormula>
    </tableColumn>
    <tableColumn id="953" xr3:uid="{29EB232F-0BCE-4FDC-A726-15FE26E80F3C}" uniqueName="953" name="Column953" totalsRowFunction="custom" queryTableFieldId="953" dataDxfId="95" totalsRowDxfId="94">
      <totalsRowFormula>-AJQ7+$AX$7</totalsRowFormula>
    </tableColumn>
    <tableColumn id="954" xr3:uid="{5912DCFE-D266-4FAE-9312-5F9EE4AEEC2B}" uniqueName="954" name="Column954" totalsRowFunction="custom" queryTableFieldId="954" dataDxfId="93" totalsRowDxfId="92">
      <totalsRowFormula>-AJR7+$AX$7</totalsRowFormula>
    </tableColumn>
    <tableColumn id="955" xr3:uid="{E443F772-201F-4A54-9247-FFE19201A90B}" uniqueName="955" name="Column955" totalsRowFunction="custom" queryTableFieldId="955" dataDxfId="91" totalsRowDxfId="90">
      <totalsRowFormula>-AJS7+$AX$7</totalsRowFormula>
    </tableColumn>
    <tableColumn id="956" xr3:uid="{79D8C90E-5FBB-4041-9D3C-0C1525554E99}" uniqueName="956" name="Column956" totalsRowFunction="custom" queryTableFieldId="956" dataDxfId="89" totalsRowDxfId="88">
      <totalsRowFormula>-AJT7+$AX$7</totalsRowFormula>
    </tableColumn>
    <tableColumn id="957" xr3:uid="{030F3C16-AF4D-4AAF-A036-52A159B69C95}" uniqueName="957" name="Column957" totalsRowFunction="custom" queryTableFieldId="957" dataDxfId="87" totalsRowDxfId="86">
      <totalsRowFormula>-AJU7+$AX$7</totalsRowFormula>
    </tableColumn>
    <tableColumn id="958" xr3:uid="{50642E43-A7D9-4154-A885-0F03872FA60B}" uniqueName="958" name="Column958" totalsRowFunction="custom" queryTableFieldId="958" dataDxfId="85" totalsRowDxfId="84">
      <totalsRowFormula>-AJV7+$AX$7</totalsRowFormula>
    </tableColumn>
    <tableColumn id="959" xr3:uid="{B2E2431B-2A3C-45B3-812A-44F745FA50B9}" uniqueName="959" name="Column959" totalsRowFunction="custom" queryTableFieldId="959" dataDxfId="83" totalsRowDxfId="82">
      <totalsRowFormula>-AJW7+$AX$7</totalsRowFormula>
    </tableColumn>
    <tableColumn id="960" xr3:uid="{0C136454-7784-46FB-A4D3-52AEB198982E}" uniqueName="960" name="Column960" totalsRowFunction="custom" queryTableFieldId="960" dataDxfId="81" totalsRowDxfId="80">
      <totalsRowFormula>-AJX7+$AX$7</totalsRowFormula>
    </tableColumn>
    <tableColumn id="961" xr3:uid="{F2A8837C-8FC5-43FA-96CB-94269CD7D909}" uniqueName="961" name="Column961" totalsRowFunction="custom" queryTableFieldId="961" dataDxfId="79" totalsRowDxfId="78">
      <totalsRowFormula>-AJY7+$AX$7</totalsRowFormula>
    </tableColumn>
    <tableColumn id="962" xr3:uid="{D44CDF0D-8E51-4B65-B75B-B44190A7A5A5}" uniqueName="962" name="Column962" totalsRowFunction="custom" queryTableFieldId="962" dataDxfId="77" totalsRowDxfId="76">
      <totalsRowFormula>-AJZ7+$AX$7</totalsRowFormula>
    </tableColumn>
    <tableColumn id="963" xr3:uid="{9A33BE7D-5E41-49FD-A5E3-B9712A07AC7D}" uniqueName="963" name="Column963" totalsRowFunction="custom" queryTableFieldId="963" dataDxfId="75" totalsRowDxfId="74">
      <totalsRowFormula>-AKA7+$AX$7</totalsRowFormula>
    </tableColumn>
    <tableColumn id="964" xr3:uid="{C417F0F7-A212-4E57-9731-1B3804B3FDFC}" uniqueName="964" name="Column964" totalsRowFunction="custom" queryTableFieldId="964" dataDxfId="73" totalsRowDxfId="72">
      <totalsRowFormula>-AKB7+$AX$7</totalsRowFormula>
    </tableColumn>
    <tableColumn id="965" xr3:uid="{46F23609-FA1A-4EAB-BB0F-1300ACC9CD45}" uniqueName="965" name="Column965" totalsRowFunction="custom" queryTableFieldId="965" dataDxfId="71" totalsRowDxfId="70">
      <totalsRowFormula>-AKC7+$AX$7</totalsRowFormula>
    </tableColumn>
    <tableColumn id="966" xr3:uid="{3E4918D8-29E8-44EF-84A0-C00833A963A9}" uniqueName="966" name="Column966" totalsRowFunction="custom" queryTableFieldId="966" dataDxfId="69" totalsRowDxfId="68">
      <totalsRowFormula>-AKD7+$AX$7</totalsRowFormula>
    </tableColumn>
    <tableColumn id="967" xr3:uid="{3F43BE7E-55C4-469A-AE77-B84AFB6F6DD1}" uniqueName="967" name="Column967" totalsRowFunction="custom" queryTableFieldId="967" dataDxfId="67" totalsRowDxfId="66">
      <totalsRowFormula>-AKE7+$AX$7</totalsRowFormula>
    </tableColumn>
    <tableColumn id="968" xr3:uid="{7B663DDE-4B17-4AD6-9AFE-48BF310A853A}" uniqueName="968" name="Column968" totalsRowFunction="custom" queryTableFieldId="968" dataDxfId="65" totalsRowDxfId="64">
      <totalsRowFormula>-AKF7+$AX$7</totalsRowFormula>
    </tableColumn>
    <tableColumn id="969" xr3:uid="{ED7D38E7-0471-4315-AA38-77BD0B5FCBC9}" uniqueName="969" name="Column969" totalsRowFunction="custom" queryTableFieldId="969" dataDxfId="63" totalsRowDxfId="62">
      <totalsRowFormula>-AKG7+$AX$7</totalsRowFormula>
    </tableColumn>
    <tableColumn id="970" xr3:uid="{6E63EA77-3C58-4259-8F14-D3400BD18AF9}" uniqueName="970" name="Column970" totalsRowFunction="custom" queryTableFieldId="970" dataDxfId="61" totalsRowDxfId="60">
      <totalsRowFormula>-AKH7+$AX$7</totalsRowFormula>
    </tableColumn>
    <tableColumn id="971" xr3:uid="{05733A92-6E75-4408-896E-5D38C224A11D}" uniqueName="971" name="Column971" totalsRowFunction="custom" queryTableFieldId="971" dataDxfId="59" totalsRowDxfId="58">
      <totalsRowFormula>-AKI7+$AX$7</totalsRowFormula>
    </tableColumn>
    <tableColumn id="972" xr3:uid="{51F32969-9E98-4926-848F-7294C0AC4EF1}" uniqueName="972" name="Column972" totalsRowFunction="custom" queryTableFieldId="972" dataDxfId="57" totalsRowDxfId="56">
      <totalsRowFormula>-AKJ7+$AX$7</totalsRowFormula>
    </tableColumn>
    <tableColumn id="973" xr3:uid="{90A1B118-EF3D-4EE7-86F3-37868624DFF6}" uniqueName="973" name="Column973" totalsRowFunction="custom" queryTableFieldId="973" dataDxfId="55" totalsRowDxfId="54">
      <totalsRowFormula>-AKK7+$AX$7</totalsRowFormula>
    </tableColumn>
    <tableColumn id="974" xr3:uid="{79C490BD-3E54-405A-81D4-82B47E11B1E1}" uniqueName="974" name="Column974" totalsRowFunction="custom" queryTableFieldId="974" dataDxfId="53" totalsRowDxfId="52">
      <totalsRowFormula>-AKL7+$AX$7</totalsRowFormula>
    </tableColumn>
    <tableColumn id="975" xr3:uid="{7A3AA043-3788-4397-8A6F-486FFA7FBD35}" uniqueName="975" name="Column975" totalsRowFunction="custom" queryTableFieldId="975" dataDxfId="51" totalsRowDxfId="50">
      <totalsRowFormula>-AKM7+$AX$7</totalsRowFormula>
    </tableColumn>
    <tableColumn id="976" xr3:uid="{458FBEEA-2F06-4FB9-A9BC-7CEEDEE7F93F}" uniqueName="976" name="Column976" totalsRowFunction="custom" queryTableFieldId="976" dataDxfId="49" totalsRowDxfId="48">
      <totalsRowFormula>-AKN7+$AX$7</totalsRowFormula>
    </tableColumn>
    <tableColumn id="977" xr3:uid="{B912A3DF-2CA0-4567-B874-06A4322A0A78}" uniqueName="977" name="Column977" totalsRowFunction="custom" queryTableFieldId="977" dataDxfId="47" totalsRowDxfId="46">
      <totalsRowFormula>-AKO7+$AX$7</totalsRowFormula>
    </tableColumn>
    <tableColumn id="978" xr3:uid="{33B1A982-1760-4254-B27A-B01E82E0C6BE}" uniqueName="978" name="Column978" totalsRowFunction="custom" queryTableFieldId="978" dataDxfId="45" totalsRowDxfId="44">
      <totalsRowFormula>-AKP7+$AX$7</totalsRowFormula>
    </tableColumn>
    <tableColumn id="979" xr3:uid="{DAA342DF-217E-4AD6-8027-35FA37F2FD9A}" uniqueName="979" name="Column979" totalsRowFunction="custom" queryTableFieldId="979" dataDxfId="43" totalsRowDxfId="42">
      <totalsRowFormula>-AKQ7+$AX$7</totalsRowFormula>
    </tableColumn>
    <tableColumn id="980" xr3:uid="{CB77AD01-6B23-472E-9649-19F28C8BF88B}" uniqueName="980" name="Column980" totalsRowFunction="custom" queryTableFieldId="980" dataDxfId="41" totalsRowDxfId="40">
      <totalsRowFormula>-AKR7+$AX$7</totalsRowFormula>
    </tableColumn>
    <tableColumn id="981" xr3:uid="{2FCF06B9-3D98-4CFF-A883-6B057FBF3884}" uniqueName="981" name="Column981" totalsRowFunction="custom" queryTableFieldId="981" dataDxfId="39" totalsRowDxfId="38">
      <totalsRowFormula>-AKS7+$AX$7</totalsRowFormula>
    </tableColumn>
    <tableColumn id="982" xr3:uid="{13D7DEDF-95B0-46AD-B330-A53A5398342C}" uniqueName="982" name="Column982" totalsRowFunction="custom" queryTableFieldId="982" dataDxfId="37" totalsRowDxfId="36">
      <totalsRowFormula>-AKT7+$AX$7</totalsRowFormula>
    </tableColumn>
    <tableColumn id="983" xr3:uid="{F824946E-60CD-4CA9-BCD1-FC0E673F6066}" uniqueName="983" name="Column983" totalsRowFunction="custom" queryTableFieldId="983" dataDxfId="35" totalsRowDxfId="34">
      <totalsRowFormula>-AKU7+$AX$7</totalsRowFormula>
    </tableColumn>
    <tableColumn id="984" xr3:uid="{ED47114C-7459-4F21-93A9-7E998DC782B9}" uniqueName="984" name="Column984" totalsRowFunction="custom" queryTableFieldId="984" dataDxfId="33" totalsRowDxfId="32">
      <totalsRowFormula>-AKV7+$AX$7</totalsRowFormula>
    </tableColumn>
    <tableColumn id="985" xr3:uid="{A9983F1B-AB5D-43E1-8BCA-1DE79E7355AB}" uniqueName="985" name="Column985" totalsRowFunction="custom" queryTableFieldId="985" dataDxfId="31" totalsRowDxfId="30">
      <totalsRowFormula>-AKW7+$AX$7</totalsRowFormula>
    </tableColumn>
    <tableColumn id="986" xr3:uid="{CBDA72D7-B6EB-46B7-9317-278AB9A2C24D}" uniqueName="986" name="Column986" totalsRowFunction="custom" queryTableFieldId="986" dataDxfId="29" totalsRowDxfId="28">
      <totalsRowFormula>-AKX7+$AX$7</totalsRowFormula>
    </tableColumn>
    <tableColumn id="987" xr3:uid="{F364C4B9-CBD5-44DA-AA56-3ECFE6418DED}" uniqueName="987" name="Column987" totalsRowFunction="custom" queryTableFieldId="987" dataDxfId="27" totalsRowDxfId="26">
      <totalsRowFormula>-AKY7+$AX$7</totalsRowFormula>
    </tableColumn>
    <tableColumn id="988" xr3:uid="{00948F4F-0897-4823-B89C-83F9D27F8B36}" uniqueName="988" name="Column988" totalsRowFunction="custom" queryTableFieldId="988" dataDxfId="25" totalsRowDxfId="24">
      <totalsRowFormula>-AKZ7+$AX$7</totalsRowFormula>
    </tableColumn>
    <tableColumn id="989" xr3:uid="{11C5B1BD-C4DD-4330-B9E7-EB4F6140A10A}" uniqueName="989" name="Column989" totalsRowFunction="custom" queryTableFieldId="989" dataDxfId="23" totalsRowDxfId="22">
      <totalsRowFormula>-ALA7+$AX$7</totalsRowFormula>
    </tableColumn>
    <tableColumn id="990" xr3:uid="{B01217F4-386D-41FD-AF6A-80C60AA6B47D}" uniqueName="990" name="Column990" totalsRowFunction="custom" queryTableFieldId="990" dataDxfId="21" totalsRowDxfId="20">
      <totalsRowFormula>-ALB7+$AX$7</totalsRowFormula>
    </tableColumn>
    <tableColumn id="991" xr3:uid="{CB1E5213-0BF9-4A75-BA7D-F73F6C69E7B8}" uniqueName="991" name="Column991" totalsRowFunction="custom" queryTableFieldId="991" dataDxfId="19" totalsRowDxfId="18">
      <totalsRowFormula>-ALC7+$AX$7</totalsRowFormula>
    </tableColumn>
    <tableColumn id="992" xr3:uid="{E788488A-831C-471F-B990-5F5D18BD0526}" uniqueName="992" name="Column992" totalsRowFunction="custom" queryTableFieldId="992" dataDxfId="17" totalsRowDxfId="16">
      <totalsRowFormula>-ALD7+$AX$7</totalsRowFormula>
    </tableColumn>
    <tableColumn id="993" xr3:uid="{1E2C5F54-9F41-40B0-A7B7-D330E8BA6F8E}" uniqueName="993" name="Column993" totalsRowFunction="custom" queryTableFieldId="993" dataDxfId="15" totalsRowDxfId="14">
      <totalsRowFormula>-ALE7+$AX$7</totalsRowFormula>
    </tableColumn>
    <tableColumn id="994" xr3:uid="{8884FCC6-0188-46B7-B121-44984655C16A}" uniqueName="994" name="Column994" totalsRowFunction="custom" queryTableFieldId="994" dataDxfId="13" totalsRowDxfId="12">
      <totalsRowFormula>-ALF7+$AX$7</totalsRowFormula>
    </tableColumn>
    <tableColumn id="995" xr3:uid="{47AFC805-8331-41BF-A41D-06324AB9FFEE}" uniqueName="995" name="Column995" totalsRowFunction="custom" queryTableFieldId="995" dataDxfId="11" totalsRowDxfId="10">
      <totalsRowFormula>-ALG7+$AX$7</totalsRowFormula>
    </tableColumn>
    <tableColumn id="996" xr3:uid="{10DC745C-34F2-4F85-906B-4C4C8DE8D6F7}" uniqueName="996" name="Column996" totalsRowFunction="custom" queryTableFieldId="996" dataDxfId="9" totalsRowDxfId="8">
      <totalsRowFormula>-ALH7+$AX$7</totalsRowFormula>
    </tableColumn>
    <tableColumn id="997" xr3:uid="{7C81B115-FFA0-49A7-A485-11CD82C6C1E3}" uniqueName="997" name="Column997" totalsRowFunction="custom" queryTableFieldId="997" dataDxfId="7" totalsRowDxfId="6">
      <totalsRowFormula>-ALI7+$AX$7</totalsRowFormula>
    </tableColumn>
    <tableColumn id="998" xr3:uid="{EA9A0CE6-734D-4D48-AD0B-1CA695953328}" uniqueName="998" name="Column998" totalsRowFunction="custom" queryTableFieldId="998" dataDxfId="5" totalsRowDxfId="4">
      <totalsRowFormula>-ALJ7+$AX$7</totalsRowFormula>
    </tableColumn>
    <tableColumn id="999" xr3:uid="{6ED4D6C5-2FA1-49AE-9B3E-2D609E4E383A}" uniqueName="999" name="Column999" totalsRowFunction="custom" queryTableFieldId="999" dataDxfId="3" totalsRowDxfId="2">
      <totalsRowFormula>-ALK7+$AX$7</totalsRowFormula>
    </tableColumn>
    <tableColumn id="1000" xr3:uid="{91A41557-8052-495D-B83A-E6493FB65E67}" uniqueName="1000" name="Column1000" totalsRowFunction="custom" queryTableFieldId="1000" dataDxfId="1" totalsRowDxfId="0">
      <totalsRowFormula>-ALL7+$AX$7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954F72"/>
      </a:accent2>
      <a:accent3>
        <a:srgbClr val="4472C4"/>
      </a:accent3>
      <a:accent4>
        <a:srgbClr val="ED7D31"/>
      </a:accent4>
      <a:accent5>
        <a:srgbClr val="70AD47"/>
      </a:accent5>
      <a:accent6>
        <a:srgbClr val="FFC0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12D7-9DF5-4569-BF30-89E0FBA789E7}">
  <dimension ref="A1:CX11"/>
  <sheetViews>
    <sheetView topLeftCell="CI7" workbookViewId="0">
      <selection activeCell="CJ25" sqref="CJ25"/>
    </sheetView>
  </sheetViews>
  <sheetFormatPr defaultRowHeight="14.4" x14ac:dyDescent="0.3"/>
  <cols>
    <col min="1" max="9" width="10.77734375" bestFit="1" customWidth="1"/>
    <col min="10" max="49" width="11.77734375" bestFit="1" customWidth="1"/>
    <col min="50" max="50" width="12.88671875" bestFit="1" customWidth="1"/>
    <col min="51" max="99" width="11.77734375" bestFit="1" customWidth="1"/>
    <col min="100" max="102" width="12.77734375" bestFit="1" customWidth="1"/>
  </cols>
  <sheetData>
    <row r="1" spans="1:1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">
      <c r="A2" t="s">
        <v>1957</v>
      </c>
      <c r="B2" t="s">
        <v>1958</v>
      </c>
      <c r="C2" t="s">
        <v>1959</v>
      </c>
      <c r="D2" t="s">
        <v>1960</v>
      </c>
      <c r="E2" t="s">
        <v>1961</v>
      </c>
      <c r="F2" t="s">
        <v>1962</v>
      </c>
      <c r="G2" t="s">
        <v>1963</v>
      </c>
      <c r="H2" t="s">
        <v>1964</v>
      </c>
      <c r="I2" t="s">
        <v>1965</v>
      </c>
      <c r="J2" t="s">
        <v>1966</v>
      </c>
      <c r="K2" t="s">
        <v>1967</v>
      </c>
      <c r="L2" t="s">
        <v>1968</v>
      </c>
      <c r="M2" t="s">
        <v>1969</v>
      </c>
      <c r="N2" t="s">
        <v>1970</v>
      </c>
      <c r="O2" t="s">
        <v>1971</v>
      </c>
      <c r="P2" t="s">
        <v>1972</v>
      </c>
      <c r="Q2" t="s">
        <v>1973</v>
      </c>
      <c r="R2" t="s">
        <v>1974</v>
      </c>
      <c r="S2" t="s">
        <v>1975</v>
      </c>
      <c r="T2" t="s">
        <v>1976</v>
      </c>
      <c r="U2" t="s">
        <v>1977</v>
      </c>
      <c r="V2" t="s">
        <v>1978</v>
      </c>
      <c r="W2" t="s">
        <v>1979</v>
      </c>
      <c r="X2" t="s">
        <v>1980</v>
      </c>
      <c r="Y2" t="s">
        <v>1981</v>
      </c>
      <c r="Z2" t="s">
        <v>1982</v>
      </c>
      <c r="AA2" t="s">
        <v>1983</v>
      </c>
      <c r="AB2" t="s">
        <v>1984</v>
      </c>
      <c r="AC2" t="s">
        <v>1985</v>
      </c>
      <c r="AD2" t="s">
        <v>1986</v>
      </c>
      <c r="AE2" t="s">
        <v>1987</v>
      </c>
      <c r="AF2" t="s">
        <v>1988</v>
      </c>
      <c r="AG2" t="s">
        <v>1989</v>
      </c>
      <c r="AH2" t="s">
        <v>1990</v>
      </c>
      <c r="AI2" t="s">
        <v>1991</v>
      </c>
      <c r="AJ2" t="s">
        <v>1992</v>
      </c>
      <c r="AK2" t="s">
        <v>1993</v>
      </c>
      <c r="AL2" t="s">
        <v>1994</v>
      </c>
      <c r="AM2" t="s">
        <v>1995</v>
      </c>
      <c r="AN2" t="s">
        <v>1996</v>
      </c>
      <c r="AO2" t="s">
        <v>1997</v>
      </c>
      <c r="AP2" t="s">
        <v>1998</v>
      </c>
      <c r="AQ2" t="s">
        <v>1999</v>
      </c>
      <c r="AR2" t="s">
        <v>2000</v>
      </c>
      <c r="AS2" t="s">
        <v>2001</v>
      </c>
      <c r="AT2" t="s">
        <v>2002</v>
      </c>
      <c r="AU2" t="s">
        <v>2003</v>
      </c>
      <c r="AV2" t="s">
        <v>2004</v>
      </c>
      <c r="AW2" t="s">
        <v>2005</v>
      </c>
      <c r="AX2" t="s">
        <v>2006</v>
      </c>
      <c r="AY2" t="s">
        <v>2007</v>
      </c>
      <c r="AZ2" t="s">
        <v>2008</v>
      </c>
      <c r="BA2" t="s">
        <v>2009</v>
      </c>
      <c r="BB2" t="s">
        <v>2010</v>
      </c>
      <c r="BC2" t="s">
        <v>2011</v>
      </c>
      <c r="BD2" t="s">
        <v>2012</v>
      </c>
      <c r="BE2" t="s">
        <v>2013</v>
      </c>
      <c r="BF2" t="s">
        <v>2014</v>
      </c>
      <c r="BG2" t="s">
        <v>2015</v>
      </c>
      <c r="BH2" t="s">
        <v>2016</v>
      </c>
      <c r="BI2" t="s">
        <v>2017</v>
      </c>
      <c r="BJ2" t="s">
        <v>2018</v>
      </c>
      <c r="BK2" t="s">
        <v>2019</v>
      </c>
      <c r="BL2" t="s">
        <v>2020</v>
      </c>
      <c r="BM2" t="s">
        <v>2021</v>
      </c>
      <c r="BN2" t="s">
        <v>2022</v>
      </c>
      <c r="BO2" t="s">
        <v>2023</v>
      </c>
      <c r="BP2" t="s">
        <v>2024</v>
      </c>
      <c r="BQ2" t="s">
        <v>2025</v>
      </c>
      <c r="BR2" t="s">
        <v>2026</v>
      </c>
      <c r="BS2" t="s">
        <v>2027</v>
      </c>
      <c r="BT2" t="s">
        <v>2028</v>
      </c>
      <c r="BU2" t="s">
        <v>2029</v>
      </c>
      <c r="BV2" t="s">
        <v>2030</v>
      </c>
      <c r="BW2" t="s">
        <v>2031</v>
      </c>
      <c r="BX2" t="s">
        <v>2032</v>
      </c>
      <c r="BY2" t="s">
        <v>2033</v>
      </c>
      <c r="BZ2" t="s">
        <v>2034</v>
      </c>
      <c r="CA2" t="s">
        <v>2035</v>
      </c>
      <c r="CB2" t="s">
        <v>2036</v>
      </c>
      <c r="CC2" t="s">
        <v>2037</v>
      </c>
      <c r="CD2" t="s">
        <v>2038</v>
      </c>
      <c r="CE2" t="s">
        <v>2039</v>
      </c>
      <c r="CF2" t="s">
        <v>2040</v>
      </c>
      <c r="CG2" t="s">
        <v>2041</v>
      </c>
      <c r="CH2" t="s">
        <v>2042</v>
      </c>
      <c r="CI2" t="s">
        <v>2043</v>
      </c>
      <c r="CJ2" t="s">
        <v>2044</v>
      </c>
      <c r="CK2" t="s">
        <v>2045</v>
      </c>
      <c r="CL2" t="s">
        <v>2046</v>
      </c>
      <c r="CM2" t="s">
        <v>2047</v>
      </c>
      <c r="CN2" t="s">
        <v>2048</v>
      </c>
      <c r="CO2" t="s">
        <v>2049</v>
      </c>
      <c r="CP2" t="s">
        <v>2050</v>
      </c>
      <c r="CQ2" t="s">
        <v>2051</v>
      </c>
      <c r="CR2" t="s">
        <v>2340</v>
      </c>
      <c r="CS2" t="s">
        <v>2341</v>
      </c>
      <c r="CT2" t="s">
        <v>2342</v>
      </c>
      <c r="CU2" t="s">
        <v>2343</v>
      </c>
      <c r="CV2" t="s">
        <v>2344</v>
      </c>
      <c r="CW2" t="s">
        <v>2345</v>
      </c>
      <c r="CX2">
        <v>0</v>
      </c>
    </row>
    <row r="3" spans="1:102" x14ac:dyDescent="0.3">
      <c r="A3" t="s">
        <v>2346</v>
      </c>
      <c r="B3" t="s">
        <v>2347</v>
      </c>
      <c r="C3" t="s">
        <v>2348</v>
      </c>
      <c r="D3" t="s">
        <v>2349</v>
      </c>
      <c r="E3" t="s">
        <v>2350</v>
      </c>
      <c r="F3" t="s">
        <v>2351</v>
      </c>
      <c r="G3" t="s">
        <v>2352</v>
      </c>
      <c r="H3" t="s">
        <v>2353</v>
      </c>
      <c r="I3" t="s">
        <v>2354</v>
      </c>
      <c r="J3" t="s">
        <v>2355</v>
      </c>
      <c r="K3" t="s">
        <v>2356</v>
      </c>
      <c r="L3" t="s">
        <v>2357</v>
      </c>
      <c r="M3" t="s">
        <v>2358</v>
      </c>
      <c r="N3" t="s">
        <v>2359</v>
      </c>
      <c r="O3" t="s">
        <v>2360</v>
      </c>
      <c r="P3" t="s">
        <v>2361</v>
      </c>
      <c r="Q3" t="s">
        <v>2362</v>
      </c>
      <c r="R3" t="s">
        <v>2363</v>
      </c>
      <c r="S3" t="s">
        <v>2364</v>
      </c>
      <c r="T3" t="s">
        <v>2365</v>
      </c>
      <c r="U3" t="s">
        <v>2366</v>
      </c>
      <c r="V3" t="s">
        <v>2367</v>
      </c>
      <c r="W3" t="s">
        <v>2368</v>
      </c>
      <c r="X3" t="s">
        <v>2369</v>
      </c>
      <c r="Y3" t="s">
        <v>2370</v>
      </c>
      <c r="Z3" t="s">
        <v>2371</v>
      </c>
      <c r="AA3" t="s">
        <v>2372</v>
      </c>
      <c r="AB3" t="s">
        <v>2373</v>
      </c>
      <c r="AC3" t="s">
        <v>2374</v>
      </c>
      <c r="AD3" t="s">
        <v>2375</v>
      </c>
      <c r="AE3" t="s">
        <v>2376</v>
      </c>
      <c r="AF3" t="s">
        <v>2377</v>
      </c>
      <c r="AG3" t="s">
        <v>2378</v>
      </c>
      <c r="AH3" t="s">
        <v>2379</v>
      </c>
      <c r="AI3" t="s">
        <v>2380</v>
      </c>
      <c r="AJ3" t="s">
        <v>2381</v>
      </c>
      <c r="AK3" t="s">
        <v>2382</v>
      </c>
      <c r="AL3" t="s">
        <v>2383</v>
      </c>
      <c r="AM3" t="s">
        <v>2384</v>
      </c>
      <c r="AN3" t="s">
        <v>2385</v>
      </c>
      <c r="AO3" t="s">
        <v>2386</v>
      </c>
      <c r="AP3" t="s">
        <v>2387</v>
      </c>
      <c r="AQ3" t="s">
        <v>2388</v>
      </c>
      <c r="AR3" t="s">
        <v>2389</v>
      </c>
      <c r="AS3" t="s">
        <v>2390</v>
      </c>
      <c r="AT3" t="s">
        <v>2391</v>
      </c>
      <c r="AU3" t="s">
        <v>2392</v>
      </c>
      <c r="AV3" t="s">
        <v>2393</v>
      </c>
      <c r="AW3" t="s">
        <v>2394</v>
      </c>
      <c r="AX3" t="s">
        <v>2395</v>
      </c>
      <c r="AY3" t="s">
        <v>2396</v>
      </c>
      <c r="AZ3" t="s">
        <v>2397</v>
      </c>
      <c r="BA3" t="s">
        <v>2398</v>
      </c>
      <c r="BB3" t="s">
        <v>2399</v>
      </c>
      <c r="BC3" t="s">
        <v>2400</v>
      </c>
      <c r="BD3" t="s">
        <v>2401</v>
      </c>
      <c r="BE3" t="s">
        <v>2402</v>
      </c>
      <c r="BF3" t="s">
        <v>2403</v>
      </c>
      <c r="BG3" t="s">
        <v>2404</v>
      </c>
      <c r="BH3" t="s">
        <v>2405</v>
      </c>
      <c r="BI3" t="s">
        <v>2406</v>
      </c>
      <c r="BJ3" t="s">
        <v>2407</v>
      </c>
      <c r="BK3" t="s">
        <v>2408</v>
      </c>
      <c r="BL3" t="s">
        <v>2409</v>
      </c>
      <c r="BM3" t="s">
        <v>2410</v>
      </c>
      <c r="BN3" t="s">
        <v>2411</v>
      </c>
      <c r="BO3" t="s">
        <v>2412</v>
      </c>
      <c r="BP3" t="s">
        <v>2413</v>
      </c>
      <c r="BQ3" t="s">
        <v>2414</v>
      </c>
      <c r="BR3" t="s">
        <v>2415</v>
      </c>
      <c r="BS3" t="s">
        <v>2416</v>
      </c>
      <c r="BT3" t="s">
        <v>2417</v>
      </c>
      <c r="BU3" t="s">
        <v>2418</v>
      </c>
      <c r="BV3" t="s">
        <v>2419</v>
      </c>
      <c r="BW3" t="s">
        <v>2420</v>
      </c>
      <c r="BX3" t="s">
        <v>2421</v>
      </c>
      <c r="BY3" t="s">
        <v>2422</v>
      </c>
      <c r="BZ3" t="s">
        <v>2423</v>
      </c>
      <c r="CA3" t="s">
        <v>2424</v>
      </c>
      <c r="CB3" t="s">
        <v>2425</v>
      </c>
      <c r="CC3" t="s">
        <v>2426</v>
      </c>
      <c r="CD3" t="s">
        <v>2427</v>
      </c>
      <c r="CE3" t="s">
        <v>2428</v>
      </c>
      <c r="CF3" t="s">
        <v>2429</v>
      </c>
      <c r="CG3" t="s">
        <v>2430</v>
      </c>
      <c r="CH3" t="s">
        <v>2431</v>
      </c>
      <c r="CI3" t="s">
        <v>2432</v>
      </c>
      <c r="CJ3" t="s">
        <v>2433</v>
      </c>
      <c r="CK3" t="s">
        <v>2434</v>
      </c>
      <c r="CL3" t="s">
        <v>2435</v>
      </c>
      <c r="CM3" t="s">
        <v>2436</v>
      </c>
      <c r="CN3" t="s">
        <v>2437</v>
      </c>
      <c r="CO3" t="s">
        <v>2438</v>
      </c>
      <c r="CP3" t="s">
        <v>2439</v>
      </c>
      <c r="CQ3" t="s">
        <v>2440</v>
      </c>
      <c r="CR3" t="s">
        <v>2441</v>
      </c>
      <c r="CS3" t="s">
        <v>2442</v>
      </c>
      <c r="CT3" t="s">
        <v>2443</v>
      </c>
      <c r="CU3" t="s">
        <v>2444</v>
      </c>
      <c r="CV3" t="s">
        <v>2445</v>
      </c>
      <c r="CW3" t="s">
        <v>2446</v>
      </c>
      <c r="CX3">
        <v>0</v>
      </c>
    </row>
    <row r="4" spans="1:102" x14ac:dyDescent="0.3">
      <c r="A4" t="s">
        <v>2447</v>
      </c>
      <c r="B4" t="s">
        <v>2448</v>
      </c>
      <c r="C4" t="s">
        <v>2449</v>
      </c>
      <c r="D4" t="s">
        <v>2450</v>
      </c>
      <c r="E4" t="s">
        <v>2451</v>
      </c>
      <c r="F4" t="s">
        <v>2452</v>
      </c>
      <c r="G4" t="s">
        <v>2453</v>
      </c>
      <c r="H4" t="s">
        <v>2454</v>
      </c>
      <c r="I4" t="s">
        <v>2455</v>
      </c>
      <c r="J4" t="s">
        <v>2456</v>
      </c>
      <c r="K4" t="s">
        <v>2457</v>
      </c>
      <c r="L4" t="s">
        <v>2458</v>
      </c>
      <c r="M4" t="s">
        <v>2459</v>
      </c>
      <c r="N4" t="s">
        <v>2460</v>
      </c>
      <c r="O4" t="s">
        <v>2461</v>
      </c>
      <c r="P4" t="s">
        <v>2462</v>
      </c>
      <c r="Q4" t="s">
        <v>2463</v>
      </c>
      <c r="R4" t="s">
        <v>2464</v>
      </c>
      <c r="S4" t="s">
        <v>2465</v>
      </c>
      <c r="T4" t="s">
        <v>2466</v>
      </c>
      <c r="U4" t="s">
        <v>2467</v>
      </c>
      <c r="V4" t="s">
        <v>2468</v>
      </c>
      <c r="W4" t="s">
        <v>2469</v>
      </c>
      <c r="X4" t="s">
        <v>2470</v>
      </c>
      <c r="Y4" t="s">
        <v>2471</v>
      </c>
      <c r="Z4" t="s">
        <v>2472</v>
      </c>
      <c r="AA4" t="s">
        <v>2473</v>
      </c>
      <c r="AB4" t="s">
        <v>2474</v>
      </c>
      <c r="AC4" t="s">
        <v>2475</v>
      </c>
      <c r="AD4" t="s">
        <v>2476</v>
      </c>
      <c r="AE4" t="s">
        <v>2477</v>
      </c>
      <c r="AF4" t="s">
        <v>2478</v>
      </c>
      <c r="AG4" t="s">
        <v>2479</v>
      </c>
      <c r="AH4" t="s">
        <v>2480</v>
      </c>
      <c r="AI4" t="s">
        <v>2481</v>
      </c>
      <c r="AJ4" t="s">
        <v>2482</v>
      </c>
      <c r="AK4" t="s">
        <v>2483</v>
      </c>
      <c r="AL4" t="s">
        <v>2484</v>
      </c>
      <c r="AM4" t="s">
        <v>2485</v>
      </c>
      <c r="AN4" t="s">
        <v>2486</v>
      </c>
      <c r="AO4" t="s">
        <v>2487</v>
      </c>
      <c r="AP4" t="s">
        <v>2488</v>
      </c>
      <c r="AQ4" t="s">
        <v>2489</v>
      </c>
      <c r="AR4" t="s">
        <v>2490</v>
      </c>
      <c r="AS4" t="s">
        <v>2491</v>
      </c>
      <c r="AT4" t="s">
        <v>2492</v>
      </c>
      <c r="AU4" t="s">
        <v>2493</v>
      </c>
      <c r="AV4" t="s">
        <v>2494</v>
      </c>
      <c r="AW4" t="s">
        <v>2495</v>
      </c>
      <c r="AX4" t="s">
        <v>2496</v>
      </c>
      <c r="AY4" t="s">
        <v>2196</v>
      </c>
      <c r="AZ4" t="s">
        <v>2497</v>
      </c>
      <c r="BA4" t="s">
        <v>2498</v>
      </c>
      <c r="BB4" t="s">
        <v>2499</v>
      </c>
      <c r="BC4" t="s">
        <v>2500</v>
      </c>
      <c r="BD4" t="s">
        <v>2501</v>
      </c>
      <c r="BE4" t="s">
        <v>2502</v>
      </c>
      <c r="BF4" t="s">
        <v>2503</v>
      </c>
      <c r="BG4" t="s">
        <v>2504</v>
      </c>
      <c r="BH4" t="s">
        <v>2505</v>
      </c>
      <c r="BI4" t="s">
        <v>2506</v>
      </c>
      <c r="BJ4" t="s">
        <v>2507</v>
      </c>
      <c r="BK4" t="s">
        <v>2508</v>
      </c>
      <c r="BL4" t="s">
        <v>2509</v>
      </c>
      <c r="BM4" t="s">
        <v>2510</v>
      </c>
      <c r="BN4" t="s">
        <v>2511</v>
      </c>
      <c r="BO4" t="s">
        <v>2512</v>
      </c>
      <c r="BP4" t="s">
        <v>2513</v>
      </c>
      <c r="BQ4" t="s">
        <v>2514</v>
      </c>
      <c r="BR4" t="s">
        <v>2515</v>
      </c>
      <c r="BS4" t="s">
        <v>2516</v>
      </c>
      <c r="BT4" t="s">
        <v>2517</v>
      </c>
      <c r="BU4" t="s">
        <v>2518</v>
      </c>
      <c r="BV4" t="s">
        <v>2519</v>
      </c>
      <c r="BW4" t="s">
        <v>2520</v>
      </c>
      <c r="BX4" t="s">
        <v>2521</v>
      </c>
      <c r="BY4" t="s">
        <v>2522</v>
      </c>
      <c r="BZ4" t="s">
        <v>2523</v>
      </c>
      <c r="CA4" t="s">
        <v>2524</v>
      </c>
      <c r="CB4" t="s">
        <v>2525</v>
      </c>
      <c r="CC4" t="s">
        <v>2526</v>
      </c>
      <c r="CD4" t="s">
        <v>2527</v>
      </c>
      <c r="CE4" t="s">
        <v>2528</v>
      </c>
      <c r="CF4" t="s">
        <v>2529</v>
      </c>
      <c r="CG4" t="s">
        <v>2530</v>
      </c>
      <c r="CH4" t="s">
        <v>2531</v>
      </c>
      <c r="CI4" t="s">
        <v>2532</v>
      </c>
      <c r="CJ4" t="s">
        <v>2533</v>
      </c>
      <c r="CK4" t="s">
        <v>2534</v>
      </c>
      <c r="CL4" t="s">
        <v>2535</v>
      </c>
      <c r="CM4" t="s">
        <v>2536</v>
      </c>
      <c r="CN4" t="s">
        <v>2537</v>
      </c>
      <c r="CO4" t="s">
        <v>2538</v>
      </c>
      <c r="CP4" t="s">
        <v>2539</v>
      </c>
      <c r="CQ4" t="s">
        <v>2540</v>
      </c>
      <c r="CR4" t="s">
        <v>2541</v>
      </c>
      <c r="CS4" t="s">
        <v>2542</v>
      </c>
      <c r="CT4" t="s">
        <v>2543</v>
      </c>
      <c r="CU4" t="s">
        <v>2544</v>
      </c>
      <c r="CV4" t="s">
        <v>2545</v>
      </c>
      <c r="CW4" t="s">
        <v>2546</v>
      </c>
      <c r="CX4">
        <v>0</v>
      </c>
    </row>
    <row r="5" spans="1:102" x14ac:dyDescent="0.3">
      <c r="A5" t="s">
        <v>2547</v>
      </c>
      <c r="B5" t="s">
        <v>2548</v>
      </c>
      <c r="C5" t="s">
        <v>2549</v>
      </c>
      <c r="D5" t="s">
        <v>2550</v>
      </c>
      <c r="E5" t="s">
        <v>2542</v>
      </c>
      <c r="F5" t="s">
        <v>2551</v>
      </c>
      <c r="G5" t="s">
        <v>2540</v>
      </c>
      <c r="H5" t="s">
        <v>2552</v>
      </c>
      <c r="I5" t="s">
        <v>2553</v>
      </c>
      <c r="J5" t="s">
        <v>2554</v>
      </c>
      <c r="K5" t="s">
        <v>2555</v>
      </c>
      <c r="L5" t="s">
        <v>2556</v>
      </c>
      <c r="M5" t="s">
        <v>2557</v>
      </c>
      <c r="N5" t="s">
        <v>2533</v>
      </c>
      <c r="O5" t="s">
        <v>2532</v>
      </c>
      <c r="P5" t="s">
        <v>2558</v>
      </c>
      <c r="Q5" t="s">
        <v>2530</v>
      </c>
      <c r="R5" t="s">
        <v>2559</v>
      </c>
      <c r="S5" t="s">
        <v>2560</v>
      </c>
      <c r="T5" t="s">
        <v>2561</v>
      </c>
      <c r="U5" t="s">
        <v>2562</v>
      </c>
      <c r="V5" t="s">
        <v>2563</v>
      </c>
      <c r="W5" t="s">
        <v>2524</v>
      </c>
      <c r="X5" t="s">
        <v>2564</v>
      </c>
      <c r="Y5" t="s">
        <v>2522</v>
      </c>
      <c r="Z5" t="s">
        <v>2521</v>
      </c>
      <c r="AA5" t="s">
        <v>2565</v>
      </c>
      <c r="AB5" t="s">
        <v>2519</v>
      </c>
      <c r="AC5" t="s">
        <v>2518</v>
      </c>
      <c r="AD5" t="s">
        <v>2517</v>
      </c>
      <c r="AE5" t="s">
        <v>2566</v>
      </c>
      <c r="AF5" t="s">
        <v>2567</v>
      </c>
      <c r="AG5" t="s">
        <v>2514</v>
      </c>
      <c r="AH5" t="s">
        <v>2568</v>
      </c>
      <c r="AI5" t="s">
        <v>2512</v>
      </c>
      <c r="AJ5" t="s">
        <v>2569</v>
      </c>
      <c r="AK5" t="s">
        <v>2570</v>
      </c>
      <c r="AL5" t="s">
        <v>2571</v>
      </c>
      <c r="AM5" t="s">
        <v>2572</v>
      </c>
      <c r="AN5" t="s">
        <v>2573</v>
      </c>
      <c r="AO5" t="s">
        <v>2574</v>
      </c>
      <c r="AP5" t="s">
        <v>2575</v>
      </c>
      <c r="AQ5" t="s">
        <v>2576</v>
      </c>
      <c r="AR5" t="s">
        <v>2577</v>
      </c>
      <c r="AS5" t="s">
        <v>2578</v>
      </c>
      <c r="AT5" t="s">
        <v>2579</v>
      </c>
      <c r="AU5" t="s">
        <v>2500</v>
      </c>
      <c r="AV5" t="s">
        <v>2580</v>
      </c>
      <c r="AW5" t="s">
        <v>2498</v>
      </c>
      <c r="AX5" t="s">
        <v>2497</v>
      </c>
      <c r="AY5" t="s">
        <v>1267</v>
      </c>
      <c r="AZ5" t="s">
        <v>2496</v>
      </c>
      <c r="BA5" t="s">
        <v>2581</v>
      </c>
      <c r="BB5" t="s">
        <v>2582</v>
      </c>
      <c r="BC5" t="s">
        <v>2583</v>
      </c>
      <c r="BD5" t="s">
        <v>2584</v>
      </c>
      <c r="BE5" t="s">
        <v>2491</v>
      </c>
      <c r="BF5" t="s">
        <v>2490</v>
      </c>
      <c r="BG5" t="s">
        <v>2585</v>
      </c>
      <c r="BH5" t="s">
        <v>2586</v>
      </c>
      <c r="BI5" t="s">
        <v>2587</v>
      </c>
      <c r="BJ5" t="s">
        <v>2486</v>
      </c>
      <c r="BK5" t="s">
        <v>2485</v>
      </c>
      <c r="BL5" t="s">
        <v>2484</v>
      </c>
      <c r="BM5" t="s">
        <v>2588</v>
      </c>
      <c r="BN5" t="s">
        <v>2482</v>
      </c>
      <c r="BO5" t="s">
        <v>2481</v>
      </c>
      <c r="BP5" t="s">
        <v>2589</v>
      </c>
      <c r="BQ5" t="s">
        <v>2479</v>
      </c>
      <c r="BR5" t="s">
        <v>2590</v>
      </c>
      <c r="BS5" t="s">
        <v>2591</v>
      </c>
      <c r="BT5" t="s">
        <v>2476</v>
      </c>
      <c r="BU5" t="s">
        <v>2592</v>
      </c>
      <c r="BV5" t="s">
        <v>2474</v>
      </c>
      <c r="BW5" t="s">
        <v>2473</v>
      </c>
      <c r="BX5" t="s">
        <v>2472</v>
      </c>
      <c r="BY5" t="s">
        <v>2471</v>
      </c>
      <c r="BZ5" t="s">
        <v>2593</v>
      </c>
      <c r="CA5" t="s">
        <v>2594</v>
      </c>
      <c r="CB5" t="s">
        <v>2468</v>
      </c>
      <c r="CC5" t="s">
        <v>2467</v>
      </c>
      <c r="CD5" t="s">
        <v>2466</v>
      </c>
      <c r="CE5" t="s">
        <v>2595</v>
      </c>
      <c r="CF5" t="s">
        <v>2464</v>
      </c>
      <c r="CG5" t="s">
        <v>2596</v>
      </c>
      <c r="CH5" t="s">
        <v>2462</v>
      </c>
      <c r="CI5" t="s">
        <v>2597</v>
      </c>
      <c r="CJ5" t="s">
        <v>2598</v>
      </c>
      <c r="CK5" t="s">
        <v>2459</v>
      </c>
      <c r="CL5" t="s">
        <v>2458</v>
      </c>
      <c r="CM5" t="s">
        <v>2599</v>
      </c>
      <c r="CN5" t="s">
        <v>2456</v>
      </c>
      <c r="CO5" t="s">
        <v>2455</v>
      </c>
      <c r="CP5" t="s">
        <v>2600</v>
      </c>
      <c r="CQ5" t="s">
        <v>2453</v>
      </c>
      <c r="CR5" t="s">
        <v>2452</v>
      </c>
      <c r="CS5" t="s">
        <v>2451</v>
      </c>
      <c r="CT5" t="s">
        <v>2450</v>
      </c>
      <c r="CU5" t="s">
        <v>2449</v>
      </c>
      <c r="CV5" t="s">
        <v>2601</v>
      </c>
      <c r="CW5" t="s">
        <v>2602</v>
      </c>
      <c r="CX5">
        <v>0</v>
      </c>
    </row>
    <row r="6" spans="1:102" x14ac:dyDescent="0.3">
      <c r="A6" t="s">
        <v>2603</v>
      </c>
      <c r="B6" t="s">
        <v>2604</v>
      </c>
      <c r="C6" t="s">
        <v>2605</v>
      </c>
      <c r="D6" t="s">
        <v>2443</v>
      </c>
      <c r="E6" t="s">
        <v>2606</v>
      </c>
      <c r="F6" t="s">
        <v>2441</v>
      </c>
      <c r="G6" t="s">
        <v>2440</v>
      </c>
      <c r="H6" t="s">
        <v>2607</v>
      </c>
      <c r="I6" t="s">
        <v>2608</v>
      </c>
      <c r="J6" t="s">
        <v>2609</v>
      </c>
      <c r="K6" t="s">
        <v>2610</v>
      </c>
      <c r="L6" t="s">
        <v>2435</v>
      </c>
      <c r="M6" t="s">
        <v>2611</v>
      </c>
      <c r="N6" t="s">
        <v>2612</v>
      </c>
      <c r="O6" t="s">
        <v>2613</v>
      </c>
      <c r="P6" t="s">
        <v>2614</v>
      </c>
      <c r="Q6" t="s">
        <v>2615</v>
      </c>
      <c r="R6" t="s">
        <v>2616</v>
      </c>
      <c r="S6" t="s">
        <v>2617</v>
      </c>
      <c r="T6" t="s">
        <v>2618</v>
      </c>
      <c r="U6" t="s">
        <v>2619</v>
      </c>
      <c r="V6" t="s">
        <v>2620</v>
      </c>
      <c r="W6" t="s">
        <v>2621</v>
      </c>
      <c r="X6" t="s">
        <v>2622</v>
      </c>
      <c r="Y6" t="s">
        <v>2422</v>
      </c>
      <c r="Z6" t="s">
        <v>2623</v>
      </c>
      <c r="AA6" t="s">
        <v>2624</v>
      </c>
      <c r="AB6" t="s">
        <v>2419</v>
      </c>
      <c r="AC6" t="s">
        <v>2418</v>
      </c>
      <c r="AD6" t="s">
        <v>2625</v>
      </c>
      <c r="AE6" t="s">
        <v>2416</v>
      </c>
      <c r="AF6" t="s">
        <v>2626</v>
      </c>
      <c r="AG6" t="s">
        <v>2414</v>
      </c>
      <c r="AH6" t="s">
        <v>2627</v>
      </c>
      <c r="AI6" t="s">
        <v>2412</v>
      </c>
      <c r="AJ6" t="s">
        <v>2628</v>
      </c>
      <c r="AK6" t="s">
        <v>2629</v>
      </c>
      <c r="AL6" t="s">
        <v>2409</v>
      </c>
      <c r="AM6" t="s">
        <v>2408</v>
      </c>
      <c r="AN6" t="s">
        <v>2630</v>
      </c>
      <c r="AO6" t="s">
        <v>2406</v>
      </c>
      <c r="AP6" t="s">
        <v>2631</v>
      </c>
      <c r="AQ6" t="s">
        <v>2632</v>
      </c>
      <c r="AR6" t="s">
        <v>2403</v>
      </c>
      <c r="AS6" t="s">
        <v>2402</v>
      </c>
      <c r="AT6" t="s">
        <v>2401</v>
      </c>
      <c r="AU6" t="s">
        <v>2400</v>
      </c>
      <c r="AV6" t="s">
        <v>2633</v>
      </c>
      <c r="AW6" t="s">
        <v>2634</v>
      </c>
      <c r="AX6" t="s">
        <v>2635</v>
      </c>
      <c r="AY6" t="s">
        <v>1171</v>
      </c>
      <c r="AZ6" t="s">
        <v>2395</v>
      </c>
      <c r="BA6" t="s">
        <v>2636</v>
      </c>
      <c r="BB6" t="s">
        <v>2393</v>
      </c>
      <c r="BC6" t="s">
        <v>2637</v>
      </c>
      <c r="BD6" t="s">
        <v>2391</v>
      </c>
      <c r="BE6" t="s">
        <v>2638</v>
      </c>
      <c r="BF6" t="s">
        <v>2389</v>
      </c>
      <c r="BG6" t="s">
        <v>2639</v>
      </c>
      <c r="BH6" t="s">
        <v>2640</v>
      </c>
      <c r="BI6" t="s">
        <v>2641</v>
      </c>
      <c r="BJ6" t="s">
        <v>2642</v>
      </c>
      <c r="BK6" t="s">
        <v>2643</v>
      </c>
      <c r="BL6" t="s">
        <v>2383</v>
      </c>
      <c r="BM6" t="s">
        <v>2644</v>
      </c>
      <c r="BN6" t="s">
        <v>2645</v>
      </c>
      <c r="BO6" t="s">
        <v>2646</v>
      </c>
      <c r="BP6" t="s">
        <v>2647</v>
      </c>
      <c r="BQ6" t="s">
        <v>2378</v>
      </c>
      <c r="BR6" t="s">
        <v>2377</v>
      </c>
      <c r="BS6" t="s">
        <v>2376</v>
      </c>
      <c r="BT6" t="s">
        <v>2648</v>
      </c>
      <c r="BU6" t="s">
        <v>2374</v>
      </c>
      <c r="BV6" t="s">
        <v>2649</v>
      </c>
      <c r="BW6" t="s">
        <v>2372</v>
      </c>
      <c r="BX6" t="s">
        <v>2371</v>
      </c>
      <c r="BY6" t="s">
        <v>2370</v>
      </c>
      <c r="BZ6" t="s">
        <v>2369</v>
      </c>
      <c r="CA6" t="s">
        <v>2368</v>
      </c>
      <c r="CB6" t="s">
        <v>2650</v>
      </c>
      <c r="CC6" t="s">
        <v>2651</v>
      </c>
      <c r="CD6" t="s">
        <v>2365</v>
      </c>
      <c r="CE6" t="s">
        <v>2364</v>
      </c>
      <c r="CF6" t="s">
        <v>2363</v>
      </c>
      <c r="CG6" t="s">
        <v>2652</v>
      </c>
      <c r="CH6" t="s">
        <v>2653</v>
      </c>
      <c r="CI6" t="s">
        <v>2654</v>
      </c>
      <c r="CJ6" t="s">
        <v>2359</v>
      </c>
      <c r="CK6" t="s">
        <v>2358</v>
      </c>
      <c r="CL6" t="s">
        <v>2655</v>
      </c>
      <c r="CM6" t="s">
        <v>2656</v>
      </c>
      <c r="CN6" t="s">
        <v>2355</v>
      </c>
      <c r="CO6" t="s">
        <v>2354</v>
      </c>
      <c r="CP6" t="s">
        <v>2353</v>
      </c>
      <c r="CQ6" t="s">
        <v>2352</v>
      </c>
      <c r="CR6" t="s">
        <v>2351</v>
      </c>
      <c r="CS6" t="s">
        <v>2350</v>
      </c>
      <c r="CT6" t="s">
        <v>2349</v>
      </c>
      <c r="CU6" t="s">
        <v>2657</v>
      </c>
      <c r="CV6" t="s">
        <v>2658</v>
      </c>
      <c r="CW6" t="s">
        <v>2346</v>
      </c>
      <c r="CX6">
        <v>0</v>
      </c>
    </row>
    <row r="7" spans="1:102" x14ac:dyDescent="0.3">
      <c r="A7" t="s">
        <v>3352</v>
      </c>
      <c r="B7" t="s">
        <v>3353</v>
      </c>
      <c r="C7" t="s">
        <v>3354</v>
      </c>
      <c r="D7" t="s">
        <v>3355</v>
      </c>
      <c r="E7" t="s">
        <v>3356</v>
      </c>
      <c r="F7" t="s">
        <v>3357</v>
      </c>
      <c r="G7" t="s">
        <v>3358</v>
      </c>
      <c r="H7" t="s">
        <v>3359</v>
      </c>
      <c r="I7" t="s">
        <v>3360</v>
      </c>
      <c r="J7" t="s">
        <v>3361</v>
      </c>
      <c r="K7" t="s">
        <v>3362</v>
      </c>
      <c r="L7" t="s">
        <v>3363</v>
      </c>
      <c r="M7" t="s">
        <v>3364</v>
      </c>
      <c r="N7" t="s">
        <v>3365</v>
      </c>
      <c r="O7" t="s">
        <v>3366</v>
      </c>
      <c r="P7" t="s">
        <v>3367</v>
      </c>
      <c r="Q7" t="s">
        <v>3368</v>
      </c>
      <c r="R7" t="s">
        <v>3369</v>
      </c>
      <c r="S7" t="s">
        <v>3370</v>
      </c>
      <c r="T7" t="s">
        <v>3371</v>
      </c>
      <c r="U7" t="s">
        <v>3372</v>
      </c>
      <c r="V7" t="s">
        <v>3373</v>
      </c>
      <c r="W7" t="s">
        <v>3374</v>
      </c>
      <c r="X7" t="s">
        <v>3375</v>
      </c>
      <c r="Y7" t="s">
        <v>3376</v>
      </c>
      <c r="Z7" t="s">
        <v>3377</v>
      </c>
      <c r="AA7" t="s">
        <v>3378</v>
      </c>
      <c r="AB7" t="s">
        <v>3379</v>
      </c>
      <c r="AC7" t="s">
        <v>3380</v>
      </c>
      <c r="AD7" t="s">
        <v>3381</v>
      </c>
      <c r="AE7" t="s">
        <v>3382</v>
      </c>
      <c r="AF7" t="s">
        <v>3383</v>
      </c>
      <c r="AG7" t="s">
        <v>3384</v>
      </c>
      <c r="AH7" t="s">
        <v>3385</v>
      </c>
      <c r="AI7" t="s">
        <v>3386</v>
      </c>
      <c r="AJ7" t="s">
        <v>3387</v>
      </c>
      <c r="AK7" t="s">
        <v>3388</v>
      </c>
      <c r="AL7" t="s">
        <v>3389</v>
      </c>
      <c r="AM7" t="s">
        <v>3390</v>
      </c>
      <c r="AN7" t="s">
        <v>3391</v>
      </c>
      <c r="AO7" t="s">
        <v>3392</v>
      </c>
      <c r="AP7" t="s">
        <v>3393</v>
      </c>
      <c r="AQ7" t="s">
        <v>3394</v>
      </c>
      <c r="AR7" t="s">
        <v>3395</v>
      </c>
      <c r="AS7" t="s">
        <v>3396</v>
      </c>
      <c r="AT7" t="s">
        <v>3397</v>
      </c>
      <c r="AU7" t="s">
        <v>3398</v>
      </c>
      <c r="AV7" t="s">
        <v>3399</v>
      </c>
      <c r="AW7" t="s">
        <v>3400</v>
      </c>
      <c r="AX7" t="s">
        <v>3401</v>
      </c>
      <c r="AY7" t="s">
        <v>3402</v>
      </c>
      <c r="AZ7" t="s">
        <v>3403</v>
      </c>
      <c r="BA7" t="s">
        <v>3404</v>
      </c>
      <c r="BB7" t="s">
        <v>3405</v>
      </c>
      <c r="BC7" t="s">
        <v>3406</v>
      </c>
      <c r="BD7" t="s">
        <v>3407</v>
      </c>
      <c r="BE7" t="s">
        <v>3408</v>
      </c>
      <c r="BF7" t="s">
        <v>3409</v>
      </c>
      <c r="BG7" t="s">
        <v>3410</v>
      </c>
      <c r="BH7" t="s">
        <v>3411</v>
      </c>
      <c r="BI7" t="s">
        <v>3412</v>
      </c>
      <c r="BJ7" t="s">
        <v>3413</v>
      </c>
      <c r="BK7" t="s">
        <v>3414</v>
      </c>
      <c r="BL7" t="s">
        <v>3415</v>
      </c>
      <c r="BM7" t="s">
        <v>3416</v>
      </c>
      <c r="BN7" t="s">
        <v>3417</v>
      </c>
      <c r="BO7" t="s">
        <v>3418</v>
      </c>
      <c r="BP7" t="s">
        <v>3419</v>
      </c>
      <c r="BQ7" t="s">
        <v>3420</v>
      </c>
      <c r="BR7" t="s">
        <v>3421</v>
      </c>
      <c r="BS7" t="s">
        <v>3422</v>
      </c>
      <c r="BT7" t="s">
        <v>3423</v>
      </c>
      <c r="BU7" t="s">
        <v>3424</v>
      </c>
      <c r="BV7" t="s">
        <v>3425</v>
      </c>
      <c r="BW7" t="s">
        <v>3426</v>
      </c>
      <c r="BX7" t="s">
        <v>3427</v>
      </c>
      <c r="BY7" t="s">
        <v>3428</v>
      </c>
      <c r="BZ7" t="s">
        <v>3429</v>
      </c>
      <c r="CA7" t="s">
        <v>3430</v>
      </c>
      <c r="CB7" t="s">
        <v>3431</v>
      </c>
      <c r="CC7" t="s">
        <v>3432</v>
      </c>
      <c r="CD7" t="s">
        <v>3433</v>
      </c>
      <c r="CE7" t="s">
        <v>3434</v>
      </c>
      <c r="CF7" t="s">
        <v>3435</v>
      </c>
      <c r="CG7" t="s">
        <v>3436</v>
      </c>
      <c r="CH7" t="s">
        <v>3437</v>
      </c>
      <c r="CI7" t="s">
        <v>3438</v>
      </c>
      <c r="CJ7" t="s">
        <v>3439</v>
      </c>
      <c r="CK7" t="s">
        <v>3440</v>
      </c>
      <c r="CL7" t="s">
        <v>3441</v>
      </c>
      <c r="CM7" t="s">
        <v>3442</v>
      </c>
      <c r="CN7" t="s">
        <v>3443</v>
      </c>
      <c r="CO7" t="s">
        <v>3444</v>
      </c>
      <c r="CP7" t="s">
        <v>3445</v>
      </c>
      <c r="CQ7" t="s">
        <v>3446</v>
      </c>
      <c r="CR7" t="s">
        <v>3447</v>
      </c>
      <c r="CS7" t="s">
        <v>3448</v>
      </c>
      <c r="CT7" t="s">
        <v>3449</v>
      </c>
      <c r="CU7" t="s">
        <v>3450</v>
      </c>
      <c r="CV7" t="s">
        <v>3451</v>
      </c>
      <c r="CW7" t="s">
        <v>3452</v>
      </c>
      <c r="CX7">
        <v>0</v>
      </c>
    </row>
    <row r="8" spans="1:102" x14ac:dyDescent="0.3">
      <c r="A8">
        <f>-A7*1</f>
        <v>-36.800490000000003</v>
      </c>
      <c r="B8">
        <f t="shared" ref="B8:AY8" si="0">-B7*1</f>
        <v>-36.585039999999999</v>
      </c>
      <c r="C8">
        <f t="shared" si="0"/>
        <v>-36.41977</v>
      </c>
      <c r="D8">
        <f t="shared" si="0"/>
        <v>-35.906950000000002</v>
      </c>
      <c r="E8">
        <f t="shared" si="0"/>
        <v>-35.010379999999998</v>
      </c>
      <c r="F8">
        <f t="shared" si="0"/>
        <v>-34.079169999999998</v>
      </c>
      <c r="G8">
        <f t="shared" si="0"/>
        <v>-33.433579999999999</v>
      </c>
      <c r="H8">
        <f t="shared" si="0"/>
        <v>-33.070430000000002</v>
      </c>
      <c r="I8">
        <f t="shared" si="0"/>
        <v>-32.693199999999997</v>
      </c>
      <c r="J8">
        <f t="shared" si="0"/>
        <v>-32.023350000000001</v>
      </c>
      <c r="K8">
        <f t="shared" si="0"/>
        <v>-31.08287</v>
      </c>
      <c r="L8">
        <f t="shared" si="0"/>
        <v>-30.14603</v>
      </c>
      <c r="M8">
        <f t="shared" si="0"/>
        <v>-29.428429999999999</v>
      </c>
      <c r="N8">
        <f t="shared" si="0"/>
        <v>-28.97467</v>
      </c>
      <c r="O8">
        <f t="shared" si="0"/>
        <v>-28.501049999999999</v>
      </c>
      <c r="P8">
        <f t="shared" si="0"/>
        <v>-27.83661</v>
      </c>
      <c r="Q8">
        <f t="shared" si="0"/>
        <v>-26.987829999999999</v>
      </c>
      <c r="R8">
        <f t="shared" si="0"/>
        <v>-26.087720000000001</v>
      </c>
      <c r="S8">
        <f t="shared" si="0"/>
        <v>-25.283329999999999</v>
      </c>
      <c r="T8">
        <f t="shared" si="0"/>
        <v>-24.617470000000001</v>
      </c>
      <c r="U8">
        <f t="shared" si="0"/>
        <v>-24.05649</v>
      </c>
      <c r="V8">
        <f t="shared" si="0"/>
        <v>-23.482430000000001</v>
      </c>
      <c r="W8">
        <f t="shared" si="0"/>
        <v>-22.702169999999999</v>
      </c>
      <c r="X8">
        <f t="shared" si="0"/>
        <v>-21.793479999999999</v>
      </c>
      <c r="Y8">
        <f t="shared" si="0"/>
        <v>-20.937419999999999</v>
      </c>
      <c r="Z8">
        <f t="shared" si="0"/>
        <v>-20.153729999999999</v>
      </c>
      <c r="AA8">
        <f t="shared" si="0"/>
        <v>-19.456720000000001</v>
      </c>
      <c r="AB8">
        <f t="shared" si="0"/>
        <v>-18.85135</v>
      </c>
      <c r="AC8">
        <f t="shared" si="0"/>
        <v>-18.16065</v>
      </c>
      <c r="AD8">
        <f t="shared" si="0"/>
        <v>-17.335730000000002</v>
      </c>
      <c r="AE8">
        <f t="shared" si="0"/>
        <v>-16.48142</v>
      </c>
      <c r="AF8">
        <f t="shared" si="0"/>
        <v>-15.596959999999999</v>
      </c>
      <c r="AG8">
        <f t="shared" si="0"/>
        <v>-14.764950000000001</v>
      </c>
      <c r="AH8">
        <f t="shared" si="0"/>
        <v>-14.06711</v>
      </c>
      <c r="AI8">
        <f t="shared" si="0"/>
        <v>-13.381460000000001</v>
      </c>
      <c r="AJ8">
        <f t="shared" si="0"/>
        <v>-12.613329999999999</v>
      </c>
      <c r="AK8">
        <f t="shared" si="0"/>
        <v>-11.816269999999999</v>
      </c>
      <c r="AL8">
        <f t="shared" si="0"/>
        <v>-10.936070000000001</v>
      </c>
      <c r="AM8">
        <f t="shared" si="0"/>
        <v>-10.02806</v>
      </c>
      <c r="AN8">
        <f t="shared" si="0"/>
        <v>-9.2341069999999998</v>
      </c>
      <c r="AO8">
        <f t="shared" si="0"/>
        <v>-8.4813379999999992</v>
      </c>
      <c r="AP8">
        <f t="shared" si="0"/>
        <v>-7.7358469999999997</v>
      </c>
      <c r="AQ8">
        <f t="shared" si="0"/>
        <v>-6.9452509999999998</v>
      </c>
      <c r="AR8">
        <f t="shared" si="0"/>
        <v>-6.1349080000000002</v>
      </c>
      <c r="AS8">
        <f t="shared" si="0"/>
        <v>-5.2714350000000003</v>
      </c>
      <c r="AT8">
        <f t="shared" si="0"/>
        <v>-4.4453860000000001</v>
      </c>
      <c r="AU8">
        <f t="shared" si="0"/>
        <v>-3.6135820000000001</v>
      </c>
      <c r="AV8">
        <f t="shared" si="0"/>
        <v>-2.8039990000000001</v>
      </c>
      <c r="AW8">
        <f t="shared" si="0"/>
        <v>-1.986631</v>
      </c>
      <c r="AX8">
        <f t="shared" si="0"/>
        <v>-1.2057450000000001</v>
      </c>
      <c r="AY8">
        <f t="shared" si="0"/>
        <v>-0.39018190000000003</v>
      </c>
      <c r="AZ8">
        <f>-AZ7+360</f>
        <v>0.42399999999997817</v>
      </c>
      <c r="BA8">
        <f t="shared" ref="BA8:CW8" si="1">-BA7+360</f>
        <v>1.2830999999999904</v>
      </c>
      <c r="BB8">
        <f t="shared" si="1"/>
        <v>2.1324000000000183</v>
      </c>
      <c r="BC8">
        <f t="shared" si="1"/>
        <v>2.974899999999991</v>
      </c>
      <c r="BD8">
        <f t="shared" si="1"/>
        <v>3.8226000000000226</v>
      </c>
      <c r="BE8">
        <f t="shared" si="1"/>
        <v>4.6284999999999741</v>
      </c>
      <c r="BF8">
        <f t="shared" si="1"/>
        <v>5.3881000000000085</v>
      </c>
      <c r="BG8">
        <f t="shared" si="1"/>
        <v>6.1551999999999794</v>
      </c>
      <c r="BH8">
        <f t="shared" si="1"/>
        <v>6.947400000000016</v>
      </c>
      <c r="BI8">
        <f t="shared" si="1"/>
        <v>7.8029999999999973</v>
      </c>
      <c r="BJ8">
        <f t="shared" si="1"/>
        <v>8.677599999999984</v>
      </c>
      <c r="BK8">
        <f t="shared" si="1"/>
        <v>9.5441000000000145</v>
      </c>
      <c r="BL8">
        <f t="shared" si="1"/>
        <v>10.334400000000016</v>
      </c>
      <c r="BM8">
        <f t="shared" si="1"/>
        <v>11.081299999999999</v>
      </c>
      <c r="BN8">
        <f t="shared" si="1"/>
        <v>11.790300000000002</v>
      </c>
      <c r="BO8">
        <f t="shared" si="1"/>
        <v>12.559199999999976</v>
      </c>
      <c r="BP8">
        <f t="shared" si="1"/>
        <v>13.373400000000004</v>
      </c>
      <c r="BQ8">
        <f t="shared" si="1"/>
        <v>14.229300000000023</v>
      </c>
      <c r="BR8">
        <f t="shared" si="1"/>
        <v>15.052999999999997</v>
      </c>
      <c r="BS8">
        <f t="shared" si="1"/>
        <v>15.843500000000006</v>
      </c>
      <c r="BT8">
        <f t="shared" si="1"/>
        <v>16.613800000000026</v>
      </c>
      <c r="BU8">
        <f t="shared" si="1"/>
        <v>17.369399999999985</v>
      </c>
      <c r="BV8">
        <f t="shared" si="1"/>
        <v>18.143599999999992</v>
      </c>
      <c r="BW8">
        <f t="shared" si="1"/>
        <v>18.906799999999976</v>
      </c>
      <c r="BX8">
        <f t="shared" si="1"/>
        <v>19.668900000000008</v>
      </c>
      <c r="BY8">
        <f t="shared" si="1"/>
        <v>20.423400000000015</v>
      </c>
      <c r="BZ8">
        <f t="shared" si="1"/>
        <v>21.18610000000001</v>
      </c>
      <c r="CA8">
        <f t="shared" si="1"/>
        <v>21.935600000000022</v>
      </c>
      <c r="CB8">
        <f t="shared" si="1"/>
        <v>22.676400000000001</v>
      </c>
      <c r="CC8">
        <f t="shared" si="1"/>
        <v>23.429500000000019</v>
      </c>
      <c r="CD8">
        <f t="shared" si="1"/>
        <v>24.187599999999975</v>
      </c>
      <c r="CE8">
        <f t="shared" si="1"/>
        <v>24.940099999999973</v>
      </c>
      <c r="CF8">
        <f t="shared" si="1"/>
        <v>25.652499999999975</v>
      </c>
      <c r="CG8">
        <f t="shared" si="1"/>
        <v>26.328199999999981</v>
      </c>
      <c r="CH8">
        <f t="shared" si="1"/>
        <v>27.016200000000026</v>
      </c>
      <c r="CI8">
        <f t="shared" si="1"/>
        <v>27.692999999999984</v>
      </c>
      <c r="CJ8">
        <f t="shared" si="1"/>
        <v>28.382200000000012</v>
      </c>
      <c r="CK8">
        <f t="shared" si="1"/>
        <v>29.067099999999982</v>
      </c>
      <c r="CL8">
        <f t="shared" si="1"/>
        <v>29.758699999999976</v>
      </c>
      <c r="CM8">
        <f t="shared" si="1"/>
        <v>30.425900000000013</v>
      </c>
      <c r="CN8">
        <f t="shared" si="1"/>
        <v>31.095899999999972</v>
      </c>
      <c r="CO8">
        <f t="shared" si="1"/>
        <v>31.767100000000028</v>
      </c>
      <c r="CP8">
        <f t="shared" si="1"/>
        <v>32.449599999999975</v>
      </c>
      <c r="CQ8">
        <f t="shared" si="1"/>
        <v>33.120000000000005</v>
      </c>
      <c r="CR8">
        <f t="shared" si="1"/>
        <v>33.760299999999972</v>
      </c>
      <c r="CS8">
        <f t="shared" si="1"/>
        <v>34.389999999999986</v>
      </c>
      <c r="CT8">
        <f t="shared" si="1"/>
        <v>35.012800000000027</v>
      </c>
      <c r="CU8">
        <f t="shared" si="1"/>
        <v>35.648000000000025</v>
      </c>
      <c r="CV8">
        <f t="shared" si="1"/>
        <v>36.295000000000016</v>
      </c>
      <c r="CW8">
        <f t="shared" si="1"/>
        <v>36.879000000000019</v>
      </c>
    </row>
    <row r="9" spans="1:102" x14ac:dyDescent="0.3">
      <c r="A9">
        <f>A2*1</f>
        <v>-39.200000000000003</v>
      </c>
      <c r="B9">
        <f t="shared" ref="B9:BM9" si="2">B2*1</f>
        <v>-38.4</v>
      </c>
      <c r="C9">
        <f t="shared" si="2"/>
        <v>-37.6</v>
      </c>
      <c r="D9">
        <f t="shared" si="2"/>
        <v>-36.799999999999997</v>
      </c>
      <c r="E9">
        <f t="shared" si="2"/>
        <v>-36</v>
      </c>
      <c r="F9">
        <f t="shared" si="2"/>
        <v>-35.200000000000003</v>
      </c>
      <c r="G9">
        <f t="shared" si="2"/>
        <v>-34.400010000000002</v>
      </c>
      <c r="H9">
        <f t="shared" si="2"/>
        <v>-33.600009999999997</v>
      </c>
      <c r="I9">
        <f t="shared" si="2"/>
        <v>-32.80001</v>
      </c>
      <c r="J9">
        <f t="shared" si="2"/>
        <v>-32.000010000000003</v>
      </c>
      <c r="K9">
        <f t="shared" si="2"/>
        <v>-31.200009999999999</v>
      </c>
      <c r="L9">
        <f t="shared" si="2"/>
        <v>-30.400010000000002</v>
      </c>
      <c r="M9">
        <f t="shared" si="2"/>
        <v>-29.600010000000001</v>
      </c>
      <c r="N9">
        <f t="shared" si="2"/>
        <v>-28.80001</v>
      </c>
      <c r="O9">
        <f t="shared" si="2"/>
        <v>-28.00001</v>
      </c>
      <c r="P9">
        <f t="shared" si="2"/>
        <v>-27.200009999999999</v>
      </c>
      <c r="Q9">
        <f t="shared" si="2"/>
        <v>-26.400010000000002</v>
      </c>
      <c r="R9">
        <f t="shared" si="2"/>
        <v>-25.600010000000001</v>
      </c>
      <c r="S9">
        <f t="shared" si="2"/>
        <v>-24.80001</v>
      </c>
      <c r="T9">
        <f t="shared" si="2"/>
        <v>-24.000019999999999</v>
      </c>
      <c r="U9">
        <f t="shared" si="2"/>
        <v>-23.200019999999999</v>
      </c>
      <c r="V9">
        <f t="shared" si="2"/>
        <v>-22.400020000000001</v>
      </c>
      <c r="W9">
        <f t="shared" si="2"/>
        <v>-21.600020000000001</v>
      </c>
      <c r="X9">
        <f t="shared" si="2"/>
        <v>-20.80002</v>
      </c>
      <c r="Y9">
        <f t="shared" si="2"/>
        <v>-20.000019999999999</v>
      </c>
      <c r="Z9">
        <f t="shared" si="2"/>
        <v>-19.200019999999999</v>
      </c>
      <c r="AA9">
        <f t="shared" si="2"/>
        <v>-18.400020000000001</v>
      </c>
      <c r="AB9">
        <f t="shared" si="2"/>
        <v>-17.600020000000001</v>
      </c>
      <c r="AC9">
        <f t="shared" si="2"/>
        <v>-16.80002</v>
      </c>
      <c r="AD9">
        <f t="shared" si="2"/>
        <v>-16.000019999999999</v>
      </c>
      <c r="AE9">
        <f t="shared" si="2"/>
        <v>-15.20002</v>
      </c>
      <c r="AF9">
        <f t="shared" si="2"/>
        <v>-14.40002</v>
      </c>
      <c r="AG9">
        <f t="shared" si="2"/>
        <v>-13.600020000000001</v>
      </c>
      <c r="AH9">
        <f t="shared" si="2"/>
        <v>-12.80002</v>
      </c>
      <c r="AI9">
        <f t="shared" si="2"/>
        <v>-12.000019999999999</v>
      </c>
      <c r="AJ9">
        <f t="shared" si="2"/>
        <v>-11.20002</v>
      </c>
      <c r="AK9">
        <f t="shared" si="2"/>
        <v>-10.40002</v>
      </c>
      <c r="AL9">
        <f t="shared" si="2"/>
        <v>-9.6000209999999999</v>
      </c>
      <c r="AM9">
        <f t="shared" si="2"/>
        <v>-8.8000209999999992</v>
      </c>
      <c r="AN9">
        <f t="shared" si="2"/>
        <v>-8.0000210000000003</v>
      </c>
      <c r="AO9">
        <f t="shared" si="2"/>
        <v>-7.2000209999999996</v>
      </c>
      <c r="AP9">
        <f t="shared" si="2"/>
        <v>-6.4000209999999997</v>
      </c>
      <c r="AQ9">
        <f t="shared" si="2"/>
        <v>-5.6000199999999998</v>
      </c>
      <c r="AR9">
        <f t="shared" si="2"/>
        <v>-4.80002</v>
      </c>
      <c r="AS9">
        <f t="shared" si="2"/>
        <v>-4.0000200000000001</v>
      </c>
      <c r="AT9">
        <f t="shared" si="2"/>
        <v>-3.2000199999999999</v>
      </c>
      <c r="AU9">
        <f t="shared" si="2"/>
        <v>-2.40002</v>
      </c>
      <c r="AV9">
        <f t="shared" si="2"/>
        <v>-1.60002</v>
      </c>
      <c r="AW9">
        <f t="shared" si="2"/>
        <v>-0.80002019999999996</v>
      </c>
      <c r="AX9">
        <f t="shared" si="2"/>
        <v>-2.0146369999999999E-5</v>
      </c>
      <c r="AY9">
        <f t="shared" si="2"/>
        <v>0.79997989999999997</v>
      </c>
      <c r="AZ9">
        <f t="shared" si="2"/>
        <v>1.59998</v>
      </c>
      <c r="BA9">
        <f t="shared" si="2"/>
        <v>2.3999799999999998</v>
      </c>
      <c r="BB9">
        <f t="shared" si="2"/>
        <v>3.19998</v>
      </c>
      <c r="BC9">
        <f t="shared" si="2"/>
        <v>3.9999799999999999</v>
      </c>
      <c r="BD9">
        <f t="shared" si="2"/>
        <v>4.7999799999999997</v>
      </c>
      <c r="BE9">
        <f t="shared" si="2"/>
        <v>5.5999800000000004</v>
      </c>
      <c r="BF9">
        <f t="shared" si="2"/>
        <v>6.3999800000000002</v>
      </c>
      <c r="BG9">
        <f t="shared" si="2"/>
        <v>7.19998</v>
      </c>
      <c r="BH9">
        <f t="shared" si="2"/>
        <v>7.9999799999999999</v>
      </c>
      <c r="BI9">
        <f t="shared" si="2"/>
        <v>8.7999799999999997</v>
      </c>
      <c r="BJ9">
        <f t="shared" si="2"/>
        <v>9.5999800000000004</v>
      </c>
      <c r="BK9">
        <f t="shared" si="2"/>
        <v>10.399979999999999</v>
      </c>
      <c r="BL9">
        <f t="shared" si="2"/>
        <v>11.19998</v>
      </c>
      <c r="BM9">
        <f t="shared" si="2"/>
        <v>11.999980000000001</v>
      </c>
      <c r="BN9">
        <f t="shared" ref="BN9:CW9" si="3">BN2*1</f>
        <v>12.79998</v>
      </c>
      <c r="BO9">
        <f t="shared" si="3"/>
        <v>13.59998</v>
      </c>
      <c r="BP9">
        <f t="shared" si="3"/>
        <v>14.399979999999999</v>
      </c>
      <c r="BQ9">
        <f t="shared" si="3"/>
        <v>15.19998</v>
      </c>
      <c r="BR9">
        <f t="shared" si="3"/>
        <v>15.999980000000001</v>
      </c>
      <c r="BS9">
        <f t="shared" si="3"/>
        <v>16.799980000000001</v>
      </c>
      <c r="BT9">
        <f t="shared" si="3"/>
        <v>17.599979999999999</v>
      </c>
      <c r="BU9">
        <f t="shared" si="3"/>
        <v>18.399979999999999</v>
      </c>
      <c r="BV9">
        <f t="shared" si="3"/>
        <v>19.19998</v>
      </c>
      <c r="BW9">
        <f t="shared" si="3"/>
        <v>19.999980000000001</v>
      </c>
      <c r="BX9">
        <f t="shared" si="3"/>
        <v>20.799980000000001</v>
      </c>
      <c r="BY9">
        <f t="shared" si="3"/>
        <v>21.599979999999999</v>
      </c>
      <c r="BZ9">
        <f t="shared" si="3"/>
        <v>22.399979999999999</v>
      </c>
      <c r="CA9">
        <f t="shared" si="3"/>
        <v>23.19998</v>
      </c>
      <c r="CB9">
        <f t="shared" si="3"/>
        <v>23.999980000000001</v>
      </c>
      <c r="CC9">
        <f t="shared" si="3"/>
        <v>24.799969999999998</v>
      </c>
      <c r="CD9">
        <f t="shared" si="3"/>
        <v>25.599969999999999</v>
      </c>
      <c r="CE9">
        <f t="shared" si="3"/>
        <v>26.39997</v>
      </c>
      <c r="CF9">
        <f t="shared" si="3"/>
        <v>27.19997</v>
      </c>
      <c r="CG9">
        <f t="shared" si="3"/>
        <v>27.999970000000001</v>
      </c>
      <c r="CH9">
        <f t="shared" si="3"/>
        <v>28.799969999999998</v>
      </c>
      <c r="CI9">
        <f t="shared" si="3"/>
        <v>29.599969999999999</v>
      </c>
      <c r="CJ9">
        <f t="shared" si="3"/>
        <v>30.39997</v>
      </c>
      <c r="CK9">
        <f t="shared" si="3"/>
        <v>31.19997</v>
      </c>
      <c r="CL9">
        <f t="shared" si="3"/>
        <v>31.999970000000001</v>
      </c>
      <c r="CM9">
        <f t="shared" si="3"/>
        <v>32.799970000000002</v>
      </c>
      <c r="CN9">
        <f t="shared" si="3"/>
        <v>33.599969999999999</v>
      </c>
      <c r="CO9">
        <f t="shared" si="3"/>
        <v>34.399970000000003</v>
      </c>
      <c r="CP9">
        <f t="shared" si="3"/>
        <v>35.19997</v>
      </c>
      <c r="CQ9">
        <f t="shared" si="3"/>
        <v>35.999969999999998</v>
      </c>
      <c r="CR9">
        <f t="shared" si="3"/>
        <v>36.799959999999999</v>
      </c>
      <c r="CS9">
        <f t="shared" si="3"/>
        <v>37.599960000000003</v>
      </c>
      <c r="CT9">
        <f t="shared" si="3"/>
        <v>38.39996</v>
      </c>
      <c r="CU9">
        <f t="shared" si="3"/>
        <v>39.199959999999997</v>
      </c>
      <c r="CV9">
        <f t="shared" si="3"/>
        <v>39.999960000000002</v>
      </c>
      <c r="CW9">
        <f t="shared" si="3"/>
        <v>40.799959999999999</v>
      </c>
    </row>
    <row r="11" spans="1:102" x14ac:dyDescent="0.3">
      <c r="A11">
        <v>0.1</v>
      </c>
      <c r="B11">
        <f>A11+0.1</f>
        <v>0.2</v>
      </c>
      <c r="C11">
        <f t="shared" ref="C11:BN11" si="4">B11+0.1</f>
        <v>0.30000000000000004</v>
      </c>
      <c r="D11">
        <f t="shared" si="4"/>
        <v>0.4</v>
      </c>
      <c r="E11">
        <f t="shared" si="4"/>
        <v>0.5</v>
      </c>
      <c r="F11">
        <f t="shared" si="4"/>
        <v>0.6</v>
      </c>
      <c r="G11">
        <f t="shared" si="4"/>
        <v>0.7</v>
      </c>
      <c r="H11">
        <f t="shared" si="4"/>
        <v>0.79999999999999993</v>
      </c>
      <c r="I11">
        <f t="shared" si="4"/>
        <v>0.89999999999999991</v>
      </c>
      <c r="J11">
        <f t="shared" si="4"/>
        <v>0.99999999999999989</v>
      </c>
      <c r="K11">
        <f t="shared" si="4"/>
        <v>1.0999999999999999</v>
      </c>
      <c r="L11">
        <f t="shared" si="4"/>
        <v>1.2</v>
      </c>
      <c r="M11">
        <f t="shared" si="4"/>
        <v>1.3</v>
      </c>
      <c r="N11">
        <f t="shared" si="4"/>
        <v>1.4000000000000001</v>
      </c>
      <c r="O11">
        <f t="shared" si="4"/>
        <v>1.5000000000000002</v>
      </c>
      <c r="P11">
        <f t="shared" si="4"/>
        <v>1.6000000000000003</v>
      </c>
      <c r="Q11">
        <f t="shared" si="4"/>
        <v>1.7000000000000004</v>
      </c>
      <c r="R11">
        <f t="shared" si="4"/>
        <v>1.8000000000000005</v>
      </c>
      <c r="S11">
        <f t="shared" si="4"/>
        <v>1.9000000000000006</v>
      </c>
      <c r="T11">
        <f t="shared" si="4"/>
        <v>2.0000000000000004</v>
      </c>
      <c r="U11">
        <f t="shared" si="4"/>
        <v>2.1000000000000005</v>
      </c>
      <c r="V11">
        <f t="shared" si="4"/>
        <v>2.2000000000000006</v>
      </c>
      <c r="W11">
        <f t="shared" si="4"/>
        <v>2.3000000000000007</v>
      </c>
      <c r="X11">
        <f t="shared" si="4"/>
        <v>2.4000000000000008</v>
      </c>
      <c r="Y11">
        <f t="shared" si="4"/>
        <v>2.5000000000000009</v>
      </c>
      <c r="Z11">
        <f t="shared" si="4"/>
        <v>2.600000000000001</v>
      </c>
      <c r="AA11">
        <f t="shared" si="4"/>
        <v>2.7000000000000011</v>
      </c>
      <c r="AB11">
        <f t="shared" si="4"/>
        <v>2.8000000000000012</v>
      </c>
      <c r="AC11">
        <f t="shared" si="4"/>
        <v>2.9000000000000012</v>
      </c>
      <c r="AD11">
        <f t="shared" si="4"/>
        <v>3.0000000000000013</v>
      </c>
      <c r="AE11">
        <f t="shared" si="4"/>
        <v>3.1000000000000014</v>
      </c>
      <c r="AF11">
        <f t="shared" si="4"/>
        <v>3.2000000000000015</v>
      </c>
      <c r="AG11">
        <f t="shared" si="4"/>
        <v>3.3000000000000016</v>
      </c>
      <c r="AH11">
        <f t="shared" si="4"/>
        <v>3.4000000000000017</v>
      </c>
      <c r="AI11">
        <f t="shared" si="4"/>
        <v>3.5000000000000018</v>
      </c>
      <c r="AJ11">
        <f t="shared" si="4"/>
        <v>3.6000000000000019</v>
      </c>
      <c r="AK11">
        <f t="shared" si="4"/>
        <v>3.700000000000002</v>
      </c>
      <c r="AL11">
        <f t="shared" si="4"/>
        <v>3.800000000000002</v>
      </c>
      <c r="AM11">
        <f t="shared" si="4"/>
        <v>3.9000000000000021</v>
      </c>
      <c r="AN11">
        <f t="shared" si="4"/>
        <v>4.0000000000000018</v>
      </c>
      <c r="AO11">
        <f t="shared" si="4"/>
        <v>4.1000000000000014</v>
      </c>
      <c r="AP11">
        <f t="shared" si="4"/>
        <v>4.2000000000000011</v>
      </c>
      <c r="AQ11">
        <f t="shared" si="4"/>
        <v>4.3000000000000007</v>
      </c>
      <c r="AR11">
        <f t="shared" si="4"/>
        <v>4.4000000000000004</v>
      </c>
      <c r="AS11">
        <f t="shared" si="4"/>
        <v>4.5</v>
      </c>
      <c r="AT11">
        <f t="shared" si="4"/>
        <v>4.5999999999999996</v>
      </c>
      <c r="AU11">
        <f t="shared" si="4"/>
        <v>4.6999999999999993</v>
      </c>
      <c r="AV11">
        <f t="shared" si="4"/>
        <v>4.7999999999999989</v>
      </c>
      <c r="AW11">
        <f t="shared" si="4"/>
        <v>4.8999999999999986</v>
      </c>
      <c r="AX11">
        <f t="shared" si="4"/>
        <v>4.9999999999999982</v>
      </c>
      <c r="AY11">
        <f t="shared" si="4"/>
        <v>5.0999999999999979</v>
      </c>
      <c r="AZ11">
        <f t="shared" si="4"/>
        <v>5.1999999999999975</v>
      </c>
      <c r="BA11">
        <f t="shared" si="4"/>
        <v>5.2999999999999972</v>
      </c>
      <c r="BB11">
        <f t="shared" si="4"/>
        <v>5.3999999999999968</v>
      </c>
      <c r="BC11">
        <f t="shared" si="4"/>
        <v>5.4999999999999964</v>
      </c>
      <c r="BD11">
        <f t="shared" si="4"/>
        <v>5.5999999999999961</v>
      </c>
      <c r="BE11">
        <f t="shared" si="4"/>
        <v>5.6999999999999957</v>
      </c>
      <c r="BF11">
        <f t="shared" si="4"/>
        <v>5.7999999999999954</v>
      </c>
      <c r="BG11">
        <f t="shared" si="4"/>
        <v>5.899999999999995</v>
      </c>
      <c r="BH11">
        <f t="shared" si="4"/>
        <v>5.9999999999999947</v>
      </c>
      <c r="BI11">
        <f t="shared" si="4"/>
        <v>6.0999999999999943</v>
      </c>
      <c r="BJ11">
        <f t="shared" si="4"/>
        <v>6.199999999999994</v>
      </c>
      <c r="BK11">
        <f t="shared" si="4"/>
        <v>6.2999999999999936</v>
      </c>
      <c r="BL11">
        <f t="shared" si="4"/>
        <v>6.3999999999999932</v>
      </c>
      <c r="BM11">
        <f t="shared" si="4"/>
        <v>6.4999999999999929</v>
      </c>
      <c r="BN11">
        <f t="shared" si="4"/>
        <v>6.5999999999999925</v>
      </c>
      <c r="BO11">
        <f t="shared" ref="BO11:CW11" si="5">BN11+0.1</f>
        <v>6.6999999999999922</v>
      </c>
      <c r="BP11">
        <f t="shared" si="5"/>
        <v>6.7999999999999918</v>
      </c>
      <c r="BQ11">
        <f t="shared" si="5"/>
        <v>6.8999999999999915</v>
      </c>
      <c r="BR11">
        <f t="shared" si="5"/>
        <v>6.9999999999999911</v>
      </c>
      <c r="BS11">
        <f t="shared" si="5"/>
        <v>7.0999999999999908</v>
      </c>
      <c r="BT11">
        <f t="shared" si="5"/>
        <v>7.1999999999999904</v>
      </c>
      <c r="BU11">
        <f t="shared" si="5"/>
        <v>7.2999999999999901</v>
      </c>
      <c r="BV11">
        <f t="shared" si="5"/>
        <v>7.3999999999999897</v>
      </c>
      <c r="BW11">
        <f t="shared" si="5"/>
        <v>7.4999999999999893</v>
      </c>
      <c r="BX11">
        <f t="shared" si="5"/>
        <v>7.599999999999989</v>
      </c>
      <c r="BY11">
        <f t="shared" si="5"/>
        <v>7.6999999999999886</v>
      </c>
      <c r="BZ11">
        <f t="shared" si="5"/>
        <v>7.7999999999999883</v>
      </c>
      <c r="CA11">
        <f t="shared" si="5"/>
        <v>7.8999999999999879</v>
      </c>
      <c r="CB11">
        <f t="shared" si="5"/>
        <v>7.9999999999999876</v>
      </c>
      <c r="CC11">
        <f t="shared" si="5"/>
        <v>8.0999999999999872</v>
      </c>
      <c r="CD11">
        <f t="shared" si="5"/>
        <v>8.1999999999999869</v>
      </c>
      <c r="CE11">
        <f t="shared" si="5"/>
        <v>8.2999999999999865</v>
      </c>
      <c r="CF11">
        <f t="shared" si="5"/>
        <v>8.3999999999999861</v>
      </c>
      <c r="CG11">
        <f t="shared" si="5"/>
        <v>8.4999999999999858</v>
      </c>
      <c r="CH11">
        <f t="shared" si="5"/>
        <v>8.5999999999999854</v>
      </c>
      <c r="CI11">
        <f t="shared" si="5"/>
        <v>8.6999999999999851</v>
      </c>
      <c r="CJ11">
        <f t="shared" si="5"/>
        <v>8.7999999999999847</v>
      </c>
      <c r="CK11">
        <f t="shared" si="5"/>
        <v>8.8999999999999844</v>
      </c>
      <c r="CL11">
        <f t="shared" si="5"/>
        <v>8.999999999999984</v>
      </c>
      <c r="CM11">
        <f t="shared" si="5"/>
        <v>9.0999999999999837</v>
      </c>
      <c r="CN11">
        <f t="shared" si="5"/>
        <v>9.1999999999999833</v>
      </c>
      <c r="CO11">
        <f t="shared" si="5"/>
        <v>9.2999999999999829</v>
      </c>
      <c r="CP11">
        <f t="shared" si="5"/>
        <v>9.3999999999999826</v>
      </c>
      <c r="CQ11">
        <f t="shared" si="5"/>
        <v>9.4999999999999822</v>
      </c>
      <c r="CR11">
        <f t="shared" si="5"/>
        <v>9.5999999999999819</v>
      </c>
      <c r="CS11">
        <f t="shared" si="5"/>
        <v>9.6999999999999815</v>
      </c>
      <c r="CT11">
        <f t="shared" si="5"/>
        <v>9.7999999999999812</v>
      </c>
      <c r="CU11">
        <f t="shared" si="5"/>
        <v>9.8999999999999808</v>
      </c>
      <c r="CV11">
        <f t="shared" si="5"/>
        <v>9.9999999999999805</v>
      </c>
      <c r="CW11">
        <f t="shared" si="5"/>
        <v>10.09999999999998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5ED-EFF1-476B-85B4-5E79F20A62A3}">
  <dimension ref="A1:CX11"/>
  <sheetViews>
    <sheetView topLeftCell="CL7" workbookViewId="0">
      <selection activeCell="A8" sqref="A8"/>
    </sheetView>
  </sheetViews>
  <sheetFormatPr defaultRowHeight="14.4" x14ac:dyDescent="0.3"/>
  <cols>
    <col min="1" max="9" width="10.77734375" bestFit="1" customWidth="1"/>
    <col min="10" max="49" width="11.77734375" bestFit="1" customWidth="1"/>
    <col min="50" max="50" width="12.88671875" bestFit="1" customWidth="1"/>
    <col min="51" max="99" width="11.77734375" bestFit="1" customWidth="1"/>
    <col min="100" max="102" width="12.77734375" bestFit="1" customWidth="1"/>
  </cols>
  <sheetData>
    <row r="1" spans="1:1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">
      <c r="A2" t="s">
        <v>1957</v>
      </c>
      <c r="B2" t="s">
        <v>1958</v>
      </c>
      <c r="C2" t="s">
        <v>1959</v>
      </c>
      <c r="D2" t="s">
        <v>1960</v>
      </c>
      <c r="E2" t="s">
        <v>1961</v>
      </c>
      <c r="F2" t="s">
        <v>1962</v>
      </c>
      <c r="G2" t="s">
        <v>1963</v>
      </c>
      <c r="H2" t="s">
        <v>1964</v>
      </c>
      <c r="I2" t="s">
        <v>1965</v>
      </c>
      <c r="J2" t="s">
        <v>1966</v>
      </c>
      <c r="K2" t="s">
        <v>1967</v>
      </c>
      <c r="L2" t="s">
        <v>1968</v>
      </c>
      <c r="M2" t="s">
        <v>1969</v>
      </c>
      <c r="N2" t="s">
        <v>1970</v>
      </c>
      <c r="O2" t="s">
        <v>1971</v>
      </c>
      <c r="P2" t="s">
        <v>1972</v>
      </c>
      <c r="Q2" t="s">
        <v>1973</v>
      </c>
      <c r="R2" t="s">
        <v>1974</v>
      </c>
      <c r="S2" t="s">
        <v>1975</v>
      </c>
      <c r="T2" t="s">
        <v>1976</v>
      </c>
      <c r="U2" t="s">
        <v>1977</v>
      </c>
      <c r="V2" t="s">
        <v>1978</v>
      </c>
      <c r="W2" t="s">
        <v>1979</v>
      </c>
      <c r="X2" t="s">
        <v>1980</v>
      </c>
      <c r="Y2" t="s">
        <v>1981</v>
      </c>
      <c r="Z2" t="s">
        <v>1982</v>
      </c>
      <c r="AA2" t="s">
        <v>1983</v>
      </c>
      <c r="AB2" t="s">
        <v>1984</v>
      </c>
      <c r="AC2" t="s">
        <v>1985</v>
      </c>
      <c r="AD2" t="s">
        <v>1986</v>
      </c>
      <c r="AE2" t="s">
        <v>1987</v>
      </c>
      <c r="AF2" t="s">
        <v>1988</v>
      </c>
      <c r="AG2" t="s">
        <v>1989</v>
      </c>
      <c r="AH2" t="s">
        <v>1990</v>
      </c>
      <c r="AI2" t="s">
        <v>1991</v>
      </c>
      <c r="AJ2" t="s">
        <v>1992</v>
      </c>
      <c r="AK2" t="s">
        <v>1993</v>
      </c>
      <c r="AL2" t="s">
        <v>1994</v>
      </c>
      <c r="AM2" t="s">
        <v>1995</v>
      </c>
      <c r="AN2" t="s">
        <v>1996</v>
      </c>
      <c r="AO2" t="s">
        <v>1997</v>
      </c>
      <c r="AP2" t="s">
        <v>1998</v>
      </c>
      <c r="AQ2" t="s">
        <v>1999</v>
      </c>
      <c r="AR2" t="s">
        <v>2000</v>
      </c>
      <c r="AS2" t="s">
        <v>2001</v>
      </c>
      <c r="AT2" t="s">
        <v>2002</v>
      </c>
      <c r="AU2" t="s">
        <v>2003</v>
      </c>
      <c r="AV2" t="s">
        <v>2004</v>
      </c>
      <c r="AW2" t="s">
        <v>2005</v>
      </c>
      <c r="AX2" t="s">
        <v>2006</v>
      </c>
      <c r="AY2" t="s">
        <v>2007</v>
      </c>
      <c r="AZ2" t="s">
        <v>2008</v>
      </c>
      <c r="BA2" t="s">
        <v>2009</v>
      </c>
      <c r="BB2" t="s">
        <v>2010</v>
      </c>
      <c r="BC2" t="s">
        <v>2011</v>
      </c>
      <c r="BD2" t="s">
        <v>2012</v>
      </c>
      <c r="BE2" t="s">
        <v>2013</v>
      </c>
      <c r="BF2" t="s">
        <v>2014</v>
      </c>
      <c r="BG2" t="s">
        <v>2015</v>
      </c>
      <c r="BH2" t="s">
        <v>2016</v>
      </c>
      <c r="BI2" t="s">
        <v>2017</v>
      </c>
      <c r="BJ2" t="s">
        <v>2018</v>
      </c>
      <c r="BK2" t="s">
        <v>2019</v>
      </c>
      <c r="BL2" t="s">
        <v>2020</v>
      </c>
      <c r="BM2" t="s">
        <v>2021</v>
      </c>
      <c r="BN2" t="s">
        <v>2022</v>
      </c>
      <c r="BO2" t="s">
        <v>2023</v>
      </c>
      <c r="BP2" t="s">
        <v>2024</v>
      </c>
      <c r="BQ2" t="s">
        <v>2025</v>
      </c>
      <c r="BR2" t="s">
        <v>2026</v>
      </c>
      <c r="BS2" t="s">
        <v>2027</v>
      </c>
      <c r="BT2" t="s">
        <v>2028</v>
      </c>
      <c r="BU2" t="s">
        <v>2029</v>
      </c>
      <c r="BV2" t="s">
        <v>2030</v>
      </c>
      <c r="BW2" t="s">
        <v>2031</v>
      </c>
      <c r="BX2" t="s">
        <v>2032</v>
      </c>
      <c r="BY2" t="s">
        <v>2033</v>
      </c>
      <c r="BZ2" t="s">
        <v>2034</v>
      </c>
      <c r="CA2" t="s">
        <v>2035</v>
      </c>
      <c r="CB2" t="s">
        <v>2036</v>
      </c>
      <c r="CC2" t="s">
        <v>2037</v>
      </c>
      <c r="CD2" t="s">
        <v>2038</v>
      </c>
      <c r="CE2" t="s">
        <v>2039</v>
      </c>
      <c r="CF2" t="s">
        <v>2040</v>
      </c>
      <c r="CG2" t="s">
        <v>2041</v>
      </c>
      <c r="CH2" t="s">
        <v>2042</v>
      </c>
      <c r="CI2" t="s">
        <v>2043</v>
      </c>
      <c r="CJ2" t="s">
        <v>2044</v>
      </c>
      <c r="CK2" t="s">
        <v>2045</v>
      </c>
      <c r="CL2" t="s">
        <v>2046</v>
      </c>
      <c r="CM2" t="s">
        <v>2047</v>
      </c>
      <c r="CN2" t="s">
        <v>2048</v>
      </c>
      <c r="CO2" t="s">
        <v>2049</v>
      </c>
      <c r="CP2" t="s">
        <v>2050</v>
      </c>
      <c r="CQ2" t="s">
        <v>2051</v>
      </c>
      <c r="CR2" t="s">
        <v>2340</v>
      </c>
      <c r="CS2" t="s">
        <v>2341</v>
      </c>
      <c r="CT2" t="s">
        <v>2342</v>
      </c>
      <c r="CU2" t="s">
        <v>2343</v>
      </c>
      <c r="CV2" t="s">
        <v>2344</v>
      </c>
      <c r="CW2" t="s">
        <v>2345</v>
      </c>
      <c r="CX2">
        <v>0</v>
      </c>
    </row>
    <row r="3" spans="1:102" x14ac:dyDescent="0.3">
      <c r="A3" t="s">
        <v>2052</v>
      </c>
      <c r="B3" t="s">
        <v>2053</v>
      </c>
      <c r="C3" t="s">
        <v>2054</v>
      </c>
      <c r="D3" t="s">
        <v>2055</v>
      </c>
      <c r="E3" t="s">
        <v>2056</v>
      </c>
      <c r="F3" t="s">
        <v>2057</v>
      </c>
      <c r="G3" t="s">
        <v>2058</v>
      </c>
      <c r="H3" t="s">
        <v>2059</v>
      </c>
      <c r="I3" t="s">
        <v>2060</v>
      </c>
      <c r="J3" t="s">
        <v>2061</v>
      </c>
      <c r="K3" t="s">
        <v>2062</v>
      </c>
      <c r="L3" t="s">
        <v>2063</v>
      </c>
      <c r="M3" t="s">
        <v>2064</v>
      </c>
      <c r="N3" t="s">
        <v>2065</v>
      </c>
      <c r="O3" t="s">
        <v>2066</v>
      </c>
      <c r="P3" t="s">
        <v>2067</v>
      </c>
      <c r="Q3" t="s">
        <v>2068</v>
      </c>
      <c r="R3" t="s">
        <v>2069</v>
      </c>
      <c r="S3" t="s">
        <v>2070</v>
      </c>
      <c r="T3" t="s">
        <v>2071</v>
      </c>
      <c r="U3" t="s">
        <v>2072</v>
      </c>
      <c r="V3" t="s">
        <v>2073</v>
      </c>
      <c r="W3" t="s">
        <v>2074</v>
      </c>
      <c r="X3" t="s">
        <v>2075</v>
      </c>
      <c r="Y3" t="s">
        <v>2076</v>
      </c>
      <c r="Z3" t="s">
        <v>2077</v>
      </c>
      <c r="AA3" t="s">
        <v>2078</v>
      </c>
      <c r="AB3" t="s">
        <v>2079</v>
      </c>
      <c r="AC3" t="s">
        <v>2080</v>
      </c>
      <c r="AD3" t="s">
        <v>2081</v>
      </c>
      <c r="AE3" t="s">
        <v>2082</v>
      </c>
      <c r="AF3" t="s">
        <v>2083</v>
      </c>
      <c r="AG3" t="s">
        <v>2084</v>
      </c>
      <c r="AH3" t="s">
        <v>2085</v>
      </c>
      <c r="AI3" t="s">
        <v>2086</v>
      </c>
      <c r="AJ3" t="s">
        <v>2087</v>
      </c>
      <c r="AK3" t="s">
        <v>2088</v>
      </c>
      <c r="AL3" t="s">
        <v>2089</v>
      </c>
      <c r="AM3" t="s">
        <v>2090</v>
      </c>
      <c r="AN3" t="s">
        <v>2091</v>
      </c>
      <c r="AO3" t="s">
        <v>2092</v>
      </c>
      <c r="AP3" t="s">
        <v>2093</v>
      </c>
      <c r="AQ3" t="s">
        <v>2094</v>
      </c>
      <c r="AR3" t="s">
        <v>2095</v>
      </c>
      <c r="AS3" t="s">
        <v>2096</v>
      </c>
      <c r="AT3" t="s">
        <v>2097</v>
      </c>
      <c r="AU3" t="s">
        <v>2098</v>
      </c>
      <c r="AV3" t="s">
        <v>2099</v>
      </c>
      <c r="AW3" t="s">
        <v>2100</v>
      </c>
      <c r="AX3" t="s">
        <v>2101</v>
      </c>
      <c r="AY3" t="s">
        <v>1171</v>
      </c>
      <c r="AZ3" t="s">
        <v>2102</v>
      </c>
      <c r="BA3" t="s">
        <v>2103</v>
      </c>
      <c r="BB3" t="s">
        <v>2104</v>
      </c>
      <c r="BC3" t="s">
        <v>2105</v>
      </c>
      <c r="BD3" t="s">
        <v>2106</v>
      </c>
      <c r="BE3" t="s">
        <v>2107</v>
      </c>
      <c r="BF3" t="s">
        <v>2108</v>
      </c>
      <c r="BG3" t="s">
        <v>2109</v>
      </c>
      <c r="BH3" t="s">
        <v>2110</v>
      </c>
      <c r="BI3" t="s">
        <v>2111</v>
      </c>
      <c r="BJ3" t="s">
        <v>2112</v>
      </c>
      <c r="BK3" t="s">
        <v>2113</v>
      </c>
      <c r="BL3" t="s">
        <v>2114</v>
      </c>
      <c r="BM3" t="s">
        <v>2115</v>
      </c>
      <c r="BN3" t="s">
        <v>2116</v>
      </c>
      <c r="BO3" t="s">
        <v>2117</v>
      </c>
      <c r="BP3" t="s">
        <v>2118</v>
      </c>
      <c r="BQ3" t="s">
        <v>2119</v>
      </c>
      <c r="BR3" t="s">
        <v>2120</v>
      </c>
      <c r="BS3" t="s">
        <v>2121</v>
      </c>
      <c r="BT3" t="s">
        <v>2122</v>
      </c>
      <c r="BU3" t="s">
        <v>2123</v>
      </c>
      <c r="BV3" t="s">
        <v>2124</v>
      </c>
      <c r="BW3" t="s">
        <v>2125</v>
      </c>
      <c r="BX3" t="s">
        <v>2126</v>
      </c>
      <c r="BY3" t="s">
        <v>2127</v>
      </c>
      <c r="BZ3" t="s">
        <v>2128</v>
      </c>
      <c r="CA3" t="s">
        <v>2129</v>
      </c>
      <c r="CB3" t="s">
        <v>2130</v>
      </c>
      <c r="CC3" t="s">
        <v>2131</v>
      </c>
      <c r="CD3" t="s">
        <v>2132</v>
      </c>
      <c r="CE3" t="s">
        <v>2133</v>
      </c>
      <c r="CF3" t="s">
        <v>2134</v>
      </c>
      <c r="CG3" t="s">
        <v>2135</v>
      </c>
      <c r="CH3" t="s">
        <v>2136</v>
      </c>
      <c r="CI3" t="s">
        <v>2137</v>
      </c>
      <c r="CJ3" t="s">
        <v>2138</v>
      </c>
      <c r="CK3" t="s">
        <v>2139</v>
      </c>
      <c r="CL3" t="s">
        <v>2140</v>
      </c>
      <c r="CM3" t="s">
        <v>2141</v>
      </c>
      <c r="CN3" t="s">
        <v>2142</v>
      </c>
      <c r="CO3" t="s">
        <v>2143</v>
      </c>
      <c r="CP3" t="s">
        <v>2144</v>
      </c>
      <c r="CQ3" t="s">
        <v>2145</v>
      </c>
      <c r="CR3" t="s">
        <v>3239</v>
      </c>
      <c r="CS3" t="s">
        <v>3240</v>
      </c>
      <c r="CT3" t="s">
        <v>3241</v>
      </c>
      <c r="CU3" t="s">
        <v>3242</v>
      </c>
      <c r="CV3" t="s">
        <v>3243</v>
      </c>
      <c r="CW3" t="s">
        <v>3244</v>
      </c>
      <c r="CX3">
        <v>0</v>
      </c>
    </row>
    <row r="4" spans="1:102" x14ac:dyDescent="0.3">
      <c r="A4" t="s">
        <v>2146</v>
      </c>
      <c r="B4" t="s">
        <v>2147</v>
      </c>
      <c r="C4" t="s">
        <v>2148</v>
      </c>
      <c r="D4" t="s">
        <v>2149</v>
      </c>
      <c r="E4" t="s">
        <v>2150</v>
      </c>
      <c r="F4" t="s">
        <v>2151</v>
      </c>
      <c r="G4" t="s">
        <v>2152</v>
      </c>
      <c r="H4" t="s">
        <v>2153</v>
      </c>
      <c r="I4" t="s">
        <v>2154</v>
      </c>
      <c r="J4" t="s">
        <v>2155</v>
      </c>
      <c r="K4" t="s">
        <v>2156</v>
      </c>
      <c r="L4" t="s">
        <v>2157</v>
      </c>
      <c r="M4" t="s">
        <v>2158</v>
      </c>
      <c r="N4" t="s">
        <v>2159</v>
      </c>
      <c r="O4" t="s">
        <v>2160</v>
      </c>
      <c r="P4" t="s">
        <v>2161</v>
      </c>
      <c r="Q4" t="s">
        <v>2162</v>
      </c>
      <c r="R4" t="s">
        <v>2163</v>
      </c>
      <c r="S4" t="s">
        <v>2164</v>
      </c>
      <c r="T4" t="s">
        <v>2165</v>
      </c>
      <c r="U4" t="s">
        <v>2166</v>
      </c>
      <c r="V4" t="s">
        <v>2167</v>
      </c>
      <c r="W4" t="s">
        <v>2168</v>
      </c>
      <c r="X4" t="s">
        <v>2169</v>
      </c>
      <c r="Y4" t="s">
        <v>2170</v>
      </c>
      <c r="Z4" t="s">
        <v>2171</v>
      </c>
      <c r="AA4" t="s">
        <v>2172</v>
      </c>
      <c r="AB4" t="s">
        <v>2173</v>
      </c>
      <c r="AC4" t="s">
        <v>2174</v>
      </c>
      <c r="AD4" t="s">
        <v>2175</v>
      </c>
      <c r="AE4" t="s">
        <v>2176</v>
      </c>
      <c r="AF4" t="s">
        <v>2177</v>
      </c>
      <c r="AG4" t="s">
        <v>2178</v>
      </c>
      <c r="AH4" t="s">
        <v>2179</v>
      </c>
      <c r="AI4" t="s">
        <v>2180</v>
      </c>
      <c r="AJ4" t="s">
        <v>2181</v>
      </c>
      <c r="AK4" t="s">
        <v>2182</v>
      </c>
      <c r="AL4" t="s">
        <v>2183</v>
      </c>
      <c r="AM4" t="s">
        <v>2184</v>
      </c>
      <c r="AN4" t="s">
        <v>2185</v>
      </c>
      <c r="AO4" t="s">
        <v>2186</v>
      </c>
      <c r="AP4" t="s">
        <v>2187</v>
      </c>
      <c r="AQ4" t="s">
        <v>2188</v>
      </c>
      <c r="AR4" t="s">
        <v>2189</v>
      </c>
      <c r="AS4" t="s">
        <v>2190</v>
      </c>
      <c r="AT4" t="s">
        <v>2191</v>
      </c>
      <c r="AU4" t="s">
        <v>2192</v>
      </c>
      <c r="AV4" t="s">
        <v>2193</v>
      </c>
      <c r="AW4" t="s">
        <v>2194</v>
      </c>
      <c r="AX4" t="s">
        <v>2195</v>
      </c>
      <c r="AY4" t="s">
        <v>2196</v>
      </c>
      <c r="AZ4" t="s">
        <v>2197</v>
      </c>
      <c r="BA4" t="s">
        <v>2198</v>
      </c>
      <c r="BB4" t="s">
        <v>2199</v>
      </c>
      <c r="BC4" t="s">
        <v>2200</v>
      </c>
      <c r="BD4" t="s">
        <v>2201</v>
      </c>
      <c r="BE4" t="s">
        <v>2202</v>
      </c>
      <c r="BF4" t="s">
        <v>2203</v>
      </c>
      <c r="BG4" t="s">
        <v>2204</v>
      </c>
      <c r="BH4" t="s">
        <v>2205</v>
      </c>
      <c r="BI4" t="s">
        <v>2206</v>
      </c>
      <c r="BJ4" t="s">
        <v>2207</v>
      </c>
      <c r="BK4" t="s">
        <v>2208</v>
      </c>
      <c r="BL4" t="s">
        <v>2209</v>
      </c>
      <c r="BM4" t="s">
        <v>2210</v>
      </c>
      <c r="BN4" t="s">
        <v>2211</v>
      </c>
      <c r="BO4" t="s">
        <v>2212</v>
      </c>
      <c r="BP4" t="s">
        <v>2213</v>
      </c>
      <c r="BQ4" t="s">
        <v>2214</v>
      </c>
      <c r="BR4" t="s">
        <v>2215</v>
      </c>
      <c r="BS4" t="s">
        <v>2216</v>
      </c>
      <c r="BT4" t="s">
        <v>2217</v>
      </c>
      <c r="BU4" t="s">
        <v>2218</v>
      </c>
      <c r="BV4" t="s">
        <v>2219</v>
      </c>
      <c r="BW4" t="s">
        <v>2220</v>
      </c>
      <c r="BX4" t="s">
        <v>2221</v>
      </c>
      <c r="BY4" t="s">
        <v>2222</v>
      </c>
      <c r="BZ4" t="s">
        <v>2223</v>
      </c>
      <c r="CA4" t="s">
        <v>2224</v>
      </c>
      <c r="CB4" t="s">
        <v>2225</v>
      </c>
      <c r="CC4" t="s">
        <v>2226</v>
      </c>
      <c r="CD4" t="s">
        <v>2227</v>
      </c>
      <c r="CE4" t="s">
        <v>2228</v>
      </c>
      <c r="CF4" t="s">
        <v>2229</v>
      </c>
      <c r="CG4" t="s">
        <v>2230</v>
      </c>
      <c r="CH4" t="s">
        <v>2231</v>
      </c>
      <c r="CI4" t="s">
        <v>2232</v>
      </c>
      <c r="CJ4" t="s">
        <v>2233</v>
      </c>
      <c r="CK4" t="s">
        <v>2234</v>
      </c>
      <c r="CL4" t="s">
        <v>2235</v>
      </c>
      <c r="CM4" t="s">
        <v>2236</v>
      </c>
      <c r="CN4" t="s">
        <v>2237</v>
      </c>
      <c r="CO4" t="s">
        <v>2238</v>
      </c>
      <c r="CP4" t="s">
        <v>2239</v>
      </c>
      <c r="CQ4" t="s">
        <v>2240</v>
      </c>
      <c r="CR4" t="s">
        <v>3245</v>
      </c>
      <c r="CS4" t="s">
        <v>3246</v>
      </c>
      <c r="CT4" t="s">
        <v>3247</v>
      </c>
      <c r="CU4" t="s">
        <v>3248</v>
      </c>
      <c r="CV4" t="s">
        <v>3249</v>
      </c>
      <c r="CW4" t="s">
        <v>3250</v>
      </c>
      <c r="CX4">
        <v>0</v>
      </c>
    </row>
    <row r="5" spans="1:102" x14ac:dyDescent="0.3">
      <c r="A5" t="s">
        <v>2146</v>
      </c>
      <c r="B5" t="s">
        <v>2147</v>
      </c>
      <c r="C5" t="s">
        <v>2148</v>
      </c>
      <c r="D5" t="s">
        <v>2149</v>
      </c>
      <c r="E5" t="s">
        <v>2150</v>
      </c>
      <c r="F5" t="s">
        <v>2151</v>
      </c>
      <c r="G5" t="s">
        <v>2152</v>
      </c>
      <c r="H5" t="s">
        <v>2153</v>
      </c>
      <c r="I5" t="s">
        <v>2154</v>
      </c>
      <c r="J5" t="s">
        <v>2155</v>
      </c>
      <c r="K5" t="s">
        <v>2156</v>
      </c>
      <c r="L5" t="s">
        <v>2157</v>
      </c>
      <c r="M5" t="s">
        <v>2158</v>
      </c>
      <c r="N5" t="s">
        <v>2159</v>
      </c>
      <c r="O5" t="s">
        <v>2160</v>
      </c>
      <c r="P5" t="s">
        <v>2161</v>
      </c>
      <c r="Q5" t="s">
        <v>2162</v>
      </c>
      <c r="R5" t="s">
        <v>2163</v>
      </c>
      <c r="S5" t="s">
        <v>2164</v>
      </c>
      <c r="T5" t="s">
        <v>2165</v>
      </c>
      <c r="U5" t="s">
        <v>2166</v>
      </c>
      <c r="V5" t="s">
        <v>2167</v>
      </c>
      <c r="W5" t="s">
        <v>2168</v>
      </c>
      <c r="X5" t="s">
        <v>2169</v>
      </c>
      <c r="Y5" t="s">
        <v>2170</v>
      </c>
      <c r="Z5" t="s">
        <v>2171</v>
      </c>
      <c r="AA5" t="s">
        <v>2172</v>
      </c>
      <c r="AB5" t="s">
        <v>2173</v>
      </c>
      <c r="AC5" t="s">
        <v>2174</v>
      </c>
      <c r="AD5" t="s">
        <v>2175</v>
      </c>
      <c r="AE5" t="s">
        <v>2176</v>
      </c>
      <c r="AF5" t="s">
        <v>2177</v>
      </c>
      <c r="AG5" t="s">
        <v>2178</v>
      </c>
      <c r="AH5" t="s">
        <v>2179</v>
      </c>
      <c r="AI5" t="s">
        <v>2180</v>
      </c>
      <c r="AJ5" t="s">
        <v>2181</v>
      </c>
      <c r="AK5" t="s">
        <v>2182</v>
      </c>
      <c r="AL5" t="s">
        <v>2183</v>
      </c>
      <c r="AM5" t="s">
        <v>2184</v>
      </c>
      <c r="AN5" t="s">
        <v>2185</v>
      </c>
      <c r="AO5" t="s">
        <v>2186</v>
      </c>
      <c r="AP5" t="s">
        <v>2187</v>
      </c>
      <c r="AQ5" t="s">
        <v>2188</v>
      </c>
      <c r="AR5" t="s">
        <v>2189</v>
      </c>
      <c r="AS5" t="s">
        <v>2190</v>
      </c>
      <c r="AT5" t="s">
        <v>2191</v>
      </c>
      <c r="AU5" t="s">
        <v>2192</v>
      </c>
      <c r="AV5" t="s">
        <v>2193</v>
      </c>
      <c r="AW5" t="s">
        <v>2194</v>
      </c>
      <c r="AX5" t="s">
        <v>2195</v>
      </c>
      <c r="AY5" t="s">
        <v>2196</v>
      </c>
      <c r="AZ5" t="s">
        <v>2197</v>
      </c>
      <c r="BA5" t="s">
        <v>2198</v>
      </c>
      <c r="BB5" t="s">
        <v>2199</v>
      </c>
      <c r="BC5" t="s">
        <v>2200</v>
      </c>
      <c r="BD5" t="s">
        <v>2201</v>
      </c>
      <c r="BE5" t="s">
        <v>2202</v>
      </c>
      <c r="BF5" t="s">
        <v>2203</v>
      </c>
      <c r="BG5" t="s">
        <v>2204</v>
      </c>
      <c r="BH5" t="s">
        <v>2205</v>
      </c>
      <c r="BI5" t="s">
        <v>2206</v>
      </c>
      <c r="BJ5" t="s">
        <v>2207</v>
      </c>
      <c r="BK5" t="s">
        <v>2208</v>
      </c>
      <c r="BL5" t="s">
        <v>2209</v>
      </c>
      <c r="BM5" t="s">
        <v>2210</v>
      </c>
      <c r="BN5" t="s">
        <v>2211</v>
      </c>
      <c r="BO5" t="s">
        <v>2212</v>
      </c>
      <c r="BP5" t="s">
        <v>2213</v>
      </c>
      <c r="BQ5" t="s">
        <v>2214</v>
      </c>
      <c r="BR5" t="s">
        <v>2215</v>
      </c>
      <c r="BS5" t="s">
        <v>2216</v>
      </c>
      <c r="BT5" t="s">
        <v>2217</v>
      </c>
      <c r="BU5" t="s">
        <v>2218</v>
      </c>
      <c r="BV5" t="s">
        <v>2219</v>
      </c>
      <c r="BW5" t="s">
        <v>2220</v>
      </c>
      <c r="BX5" t="s">
        <v>2221</v>
      </c>
      <c r="BY5" t="s">
        <v>2222</v>
      </c>
      <c r="BZ5" t="s">
        <v>2223</v>
      </c>
      <c r="CA5" t="s">
        <v>2224</v>
      </c>
      <c r="CB5" t="s">
        <v>2225</v>
      </c>
      <c r="CC5" t="s">
        <v>2226</v>
      </c>
      <c r="CD5" t="s">
        <v>2227</v>
      </c>
      <c r="CE5" t="s">
        <v>2228</v>
      </c>
      <c r="CF5" t="s">
        <v>2229</v>
      </c>
      <c r="CG5" t="s">
        <v>2230</v>
      </c>
      <c r="CH5" t="s">
        <v>2231</v>
      </c>
      <c r="CI5" t="s">
        <v>2232</v>
      </c>
      <c r="CJ5" t="s">
        <v>2233</v>
      </c>
      <c r="CK5" t="s">
        <v>2234</v>
      </c>
      <c r="CL5" t="s">
        <v>2235</v>
      </c>
      <c r="CM5" t="s">
        <v>2236</v>
      </c>
      <c r="CN5" t="s">
        <v>2237</v>
      </c>
      <c r="CO5" t="s">
        <v>2238</v>
      </c>
      <c r="CP5" t="s">
        <v>2239</v>
      </c>
      <c r="CQ5" t="s">
        <v>2240</v>
      </c>
      <c r="CR5" t="s">
        <v>3245</v>
      </c>
      <c r="CS5" t="s">
        <v>3246</v>
      </c>
      <c r="CT5" t="s">
        <v>3247</v>
      </c>
      <c r="CU5" t="s">
        <v>3248</v>
      </c>
      <c r="CV5" t="s">
        <v>3249</v>
      </c>
      <c r="CW5" t="s">
        <v>3250</v>
      </c>
      <c r="CX5">
        <v>0</v>
      </c>
    </row>
    <row r="6" spans="1:102" x14ac:dyDescent="0.3">
      <c r="A6" t="s">
        <v>2052</v>
      </c>
      <c r="B6" t="s">
        <v>2053</v>
      </c>
      <c r="C6" t="s">
        <v>2054</v>
      </c>
      <c r="D6" t="s">
        <v>2055</v>
      </c>
      <c r="E6" t="s">
        <v>2056</v>
      </c>
      <c r="F6" t="s">
        <v>2057</v>
      </c>
      <c r="G6" t="s">
        <v>2058</v>
      </c>
      <c r="H6" t="s">
        <v>2059</v>
      </c>
      <c r="I6" t="s">
        <v>2060</v>
      </c>
      <c r="J6" t="s">
        <v>2061</v>
      </c>
      <c r="K6" t="s">
        <v>2062</v>
      </c>
      <c r="L6" t="s">
        <v>2063</v>
      </c>
      <c r="M6" t="s">
        <v>2064</v>
      </c>
      <c r="N6" t="s">
        <v>2065</v>
      </c>
      <c r="O6" t="s">
        <v>2066</v>
      </c>
      <c r="P6" t="s">
        <v>2067</v>
      </c>
      <c r="Q6" t="s">
        <v>2068</v>
      </c>
      <c r="R6" t="s">
        <v>2069</v>
      </c>
      <c r="S6" t="s">
        <v>2070</v>
      </c>
      <c r="T6" t="s">
        <v>2071</v>
      </c>
      <c r="U6" t="s">
        <v>2072</v>
      </c>
      <c r="V6" t="s">
        <v>2073</v>
      </c>
      <c r="W6" t="s">
        <v>2074</v>
      </c>
      <c r="X6" t="s">
        <v>2075</v>
      </c>
      <c r="Y6" t="s">
        <v>2076</v>
      </c>
      <c r="Z6" t="s">
        <v>2077</v>
      </c>
      <c r="AA6" t="s">
        <v>2078</v>
      </c>
      <c r="AB6" t="s">
        <v>2079</v>
      </c>
      <c r="AC6" t="s">
        <v>2080</v>
      </c>
      <c r="AD6" t="s">
        <v>2081</v>
      </c>
      <c r="AE6" t="s">
        <v>2082</v>
      </c>
      <c r="AF6" t="s">
        <v>2083</v>
      </c>
      <c r="AG6" t="s">
        <v>2084</v>
      </c>
      <c r="AH6" t="s">
        <v>2085</v>
      </c>
      <c r="AI6" t="s">
        <v>2086</v>
      </c>
      <c r="AJ6" t="s">
        <v>2087</v>
      </c>
      <c r="AK6" t="s">
        <v>2088</v>
      </c>
      <c r="AL6" t="s">
        <v>2089</v>
      </c>
      <c r="AM6" t="s">
        <v>2090</v>
      </c>
      <c r="AN6" t="s">
        <v>2091</v>
      </c>
      <c r="AO6" t="s">
        <v>2092</v>
      </c>
      <c r="AP6" t="s">
        <v>2093</v>
      </c>
      <c r="AQ6" t="s">
        <v>2094</v>
      </c>
      <c r="AR6" t="s">
        <v>2095</v>
      </c>
      <c r="AS6" t="s">
        <v>2096</v>
      </c>
      <c r="AT6" t="s">
        <v>2097</v>
      </c>
      <c r="AU6" t="s">
        <v>2098</v>
      </c>
      <c r="AV6" t="s">
        <v>2099</v>
      </c>
      <c r="AW6" t="s">
        <v>2100</v>
      </c>
      <c r="AX6" t="s">
        <v>2101</v>
      </c>
      <c r="AY6" t="s">
        <v>1171</v>
      </c>
      <c r="AZ6" t="s">
        <v>2102</v>
      </c>
      <c r="BA6" t="s">
        <v>2103</v>
      </c>
      <c r="BB6" t="s">
        <v>2104</v>
      </c>
      <c r="BC6" t="s">
        <v>2105</v>
      </c>
      <c r="BD6" t="s">
        <v>2106</v>
      </c>
      <c r="BE6" t="s">
        <v>2107</v>
      </c>
      <c r="BF6" t="s">
        <v>2108</v>
      </c>
      <c r="BG6" t="s">
        <v>2109</v>
      </c>
      <c r="BH6" t="s">
        <v>2110</v>
      </c>
      <c r="BI6" t="s">
        <v>2111</v>
      </c>
      <c r="BJ6" t="s">
        <v>2112</v>
      </c>
      <c r="BK6" t="s">
        <v>2113</v>
      </c>
      <c r="BL6" t="s">
        <v>2114</v>
      </c>
      <c r="BM6" t="s">
        <v>2115</v>
      </c>
      <c r="BN6" t="s">
        <v>2116</v>
      </c>
      <c r="BO6" t="s">
        <v>2117</v>
      </c>
      <c r="BP6" t="s">
        <v>2118</v>
      </c>
      <c r="BQ6" t="s">
        <v>2119</v>
      </c>
      <c r="BR6" t="s">
        <v>2120</v>
      </c>
      <c r="BS6" t="s">
        <v>2121</v>
      </c>
      <c r="BT6" t="s">
        <v>2122</v>
      </c>
      <c r="BU6" t="s">
        <v>2123</v>
      </c>
      <c r="BV6" t="s">
        <v>2124</v>
      </c>
      <c r="BW6" t="s">
        <v>2125</v>
      </c>
      <c r="BX6" t="s">
        <v>2126</v>
      </c>
      <c r="BY6" t="s">
        <v>2127</v>
      </c>
      <c r="BZ6" t="s">
        <v>2128</v>
      </c>
      <c r="CA6" t="s">
        <v>2129</v>
      </c>
      <c r="CB6" t="s">
        <v>2130</v>
      </c>
      <c r="CC6" t="s">
        <v>2131</v>
      </c>
      <c r="CD6" t="s">
        <v>2132</v>
      </c>
      <c r="CE6" t="s">
        <v>2133</v>
      </c>
      <c r="CF6" t="s">
        <v>2134</v>
      </c>
      <c r="CG6" t="s">
        <v>2135</v>
      </c>
      <c r="CH6" t="s">
        <v>2136</v>
      </c>
      <c r="CI6" t="s">
        <v>2137</v>
      </c>
      <c r="CJ6" t="s">
        <v>2138</v>
      </c>
      <c r="CK6" t="s">
        <v>2139</v>
      </c>
      <c r="CL6" t="s">
        <v>2140</v>
      </c>
      <c r="CM6" t="s">
        <v>2141</v>
      </c>
      <c r="CN6" t="s">
        <v>2142</v>
      </c>
      <c r="CO6" t="s">
        <v>2143</v>
      </c>
      <c r="CP6" t="s">
        <v>2144</v>
      </c>
      <c r="CQ6" t="s">
        <v>2145</v>
      </c>
      <c r="CR6" t="s">
        <v>3239</v>
      </c>
      <c r="CS6" t="s">
        <v>3240</v>
      </c>
      <c r="CT6" t="s">
        <v>3241</v>
      </c>
      <c r="CU6" t="s">
        <v>3242</v>
      </c>
      <c r="CV6" t="s">
        <v>3243</v>
      </c>
      <c r="CW6" t="s">
        <v>3244</v>
      </c>
      <c r="CX6">
        <v>0</v>
      </c>
    </row>
    <row r="7" spans="1:102" x14ac:dyDescent="0.3">
      <c r="A7" t="s">
        <v>3251</v>
      </c>
      <c r="B7" t="s">
        <v>3252</v>
      </c>
      <c r="C7" t="s">
        <v>3253</v>
      </c>
      <c r="D7" t="s">
        <v>3254</v>
      </c>
      <c r="E7" t="s">
        <v>3255</v>
      </c>
      <c r="F7" t="s">
        <v>3256</v>
      </c>
      <c r="G7" t="s">
        <v>3257</v>
      </c>
      <c r="H7" t="s">
        <v>3258</v>
      </c>
      <c r="I7" t="s">
        <v>3259</v>
      </c>
      <c r="J7" t="s">
        <v>3260</v>
      </c>
      <c r="K7" t="s">
        <v>3261</v>
      </c>
      <c r="L7" t="s">
        <v>3262</v>
      </c>
      <c r="M7" t="s">
        <v>3263</v>
      </c>
      <c r="N7" t="s">
        <v>3264</v>
      </c>
      <c r="O7" t="s">
        <v>3265</v>
      </c>
      <c r="P7" t="s">
        <v>3266</v>
      </c>
      <c r="Q7" t="s">
        <v>3267</v>
      </c>
      <c r="R7" t="s">
        <v>3268</v>
      </c>
      <c r="S7" t="s">
        <v>3269</v>
      </c>
      <c r="T7" t="s">
        <v>3270</v>
      </c>
      <c r="U7" t="s">
        <v>3271</v>
      </c>
      <c r="V7" t="s">
        <v>3272</v>
      </c>
      <c r="W7" t="s">
        <v>3273</v>
      </c>
      <c r="X7" t="s">
        <v>3274</v>
      </c>
      <c r="Y7" t="s">
        <v>3275</v>
      </c>
      <c r="Z7" t="s">
        <v>3276</v>
      </c>
      <c r="AA7" t="s">
        <v>3277</v>
      </c>
      <c r="AB7" t="s">
        <v>3278</v>
      </c>
      <c r="AC7" t="s">
        <v>3279</v>
      </c>
      <c r="AD7" t="s">
        <v>3280</v>
      </c>
      <c r="AE7" t="s">
        <v>3281</v>
      </c>
      <c r="AF7" t="s">
        <v>3282</v>
      </c>
      <c r="AG7" t="s">
        <v>3283</v>
      </c>
      <c r="AH7" t="s">
        <v>3284</v>
      </c>
      <c r="AI7" t="s">
        <v>3285</v>
      </c>
      <c r="AJ7" t="s">
        <v>3286</v>
      </c>
      <c r="AK7" t="s">
        <v>3287</v>
      </c>
      <c r="AL7" t="s">
        <v>3288</v>
      </c>
      <c r="AM7" t="s">
        <v>3289</v>
      </c>
      <c r="AN7" t="s">
        <v>3290</v>
      </c>
      <c r="AO7" t="s">
        <v>3291</v>
      </c>
      <c r="AP7" t="s">
        <v>3292</v>
      </c>
      <c r="AQ7" t="s">
        <v>3293</v>
      </c>
      <c r="AR7" t="s">
        <v>3294</v>
      </c>
      <c r="AS7" t="s">
        <v>3295</v>
      </c>
      <c r="AT7" t="s">
        <v>3296</v>
      </c>
      <c r="AU7" t="s">
        <v>3297</v>
      </c>
      <c r="AV7" t="s">
        <v>3298</v>
      </c>
      <c r="AW7" t="s">
        <v>3299</v>
      </c>
      <c r="AX7" t="s">
        <v>3300</v>
      </c>
      <c r="AY7" t="s">
        <v>3301</v>
      </c>
      <c r="AZ7" t="s">
        <v>3302</v>
      </c>
      <c r="BA7" t="s">
        <v>3303</v>
      </c>
      <c r="BB7" t="s">
        <v>3304</v>
      </c>
      <c r="BC7" t="s">
        <v>3305</v>
      </c>
      <c r="BD7" t="s">
        <v>3306</v>
      </c>
      <c r="BE7" t="s">
        <v>3307</v>
      </c>
      <c r="BF7" t="s">
        <v>3308</v>
      </c>
      <c r="BG7" t="s">
        <v>3309</v>
      </c>
      <c r="BH7" t="s">
        <v>3310</v>
      </c>
      <c r="BI7" t="s">
        <v>3311</v>
      </c>
      <c r="BJ7" t="s">
        <v>3312</v>
      </c>
      <c r="BK7" t="s">
        <v>3313</v>
      </c>
      <c r="BL7" t="s">
        <v>3314</v>
      </c>
      <c r="BM7" t="s">
        <v>3315</v>
      </c>
      <c r="BN7" t="s">
        <v>3316</v>
      </c>
      <c r="BO7" t="s">
        <v>3317</v>
      </c>
      <c r="BP7" t="s">
        <v>3318</v>
      </c>
      <c r="BQ7" t="s">
        <v>3319</v>
      </c>
      <c r="BR7" t="s">
        <v>3320</v>
      </c>
      <c r="BS7" t="s">
        <v>3321</v>
      </c>
      <c r="BT7" t="s">
        <v>3322</v>
      </c>
      <c r="BU7" t="s">
        <v>3323</v>
      </c>
      <c r="BV7" t="s">
        <v>3324</v>
      </c>
      <c r="BW7" t="s">
        <v>3325</v>
      </c>
      <c r="BX7" t="s">
        <v>3326</v>
      </c>
      <c r="BY7" t="s">
        <v>3327</v>
      </c>
      <c r="BZ7" t="s">
        <v>3328</v>
      </c>
      <c r="CA7" t="s">
        <v>3329</v>
      </c>
      <c r="CB7" t="s">
        <v>3330</v>
      </c>
      <c r="CC7" t="s">
        <v>3331</v>
      </c>
      <c r="CD7" t="s">
        <v>3332</v>
      </c>
      <c r="CE7" t="s">
        <v>3333</v>
      </c>
      <c r="CF7" t="s">
        <v>3334</v>
      </c>
      <c r="CG7" t="s">
        <v>3335</v>
      </c>
      <c r="CH7" t="s">
        <v>3336</v>
      </c>
      <c r="CI7" t="s">
        <v>3337</v>
      </c>
      <c r="CJ7" t="s">
        <v>3338</v>
      </c>
      <c r="CK7" t="s">
        <v>3339</v>
      </c>
      <c r="CL7" t="s">
        <v>3340</v>
      </c>
      <c r="CM7" t="s">
        <v>3341</v>
      </c>
      <c r="CN7" t="s">
        <v>3342</v>
      </c>
      <c r="CO7" t="s">
        <v>3343</v>
      </c>
      <c r="CP7" t="s">
        <v>3344</v>
      </c>
      <c r="CQ7" t="s">
        <v>3345</v>
      </c>
      <c r="CR7" t="s">
        <v>3346</v>
      </c>
      <c r="CS7" t="s">
        <v>3347</v>
      </c>
      <c r="CT7" t="s">
        <v>3348</v>
      </c>
      <c r="CU7" t="s">
        <v>3349</v>
      </c>
      <c r="CV7" t="s">
        <v>3350</v>
      </c>
      <c r="CW7" t="s">
        <v>3351</v>
      </c>
      <c r="CX7">
        <v>0</v>
      </c>
    </row>
    <row r="8" spans="1:102" x14ac:dyDescent="0.3">
      <c r="A8">
        <f>A7-360</f>
        <v>-39.750900000000001</v>
      </c>
      <c r="B8">
        <f t="shared" ref="B8:AY8" si="0">B7-360</f>
        <v>-38.755200000000002</v>
      </c>
      <c r="C8">
        <f t="shared" si="0"/>
        <v>-37.875900000000001</v>
      </c>
      <c r="D8">
        <f t="shared" si="0"/>
        <v>-37.093299999999999</v>
      </c>
      <c r="E8">
        <f t="shared" si="0"/>
        <v>-36.287399999999991</v>
      </c>
      <c r="F8">
        <f t="shared" si="0"/>
        <v>-35.447499999999991</v>
      </c>
      <c r="G8">
        <f t="shared" si="0"/>
        <v>-34.559399999999982</v>
      </c>
      <c r="H8">
        <f t="shared" si="0"/>
        <v>-33.683299999999974</v>
      </c>
      <c r="I8">
        <f t="shared" si="0"/>
        <v>-32.828100000000006</v>
      </c>
      <c r="J8">
        <f t="shared" si="0"/>
        <v>-31.999900000000025</v>
      </c>
      <c r="K8">
        <f t="shared" si="0"/>
        <v>-31.250299999999982</v>
      </c>
      <c r="L8">
        <f t="shared" si="0"/>
        <v>-30.602199999999982</v>
      </c>
      <c r="M8">
        <f t="shared" si="0"/>
        <v>-29.971299999999985</v>
      </c>
      <c r="N8">
        <f t="shared" si="0"/>
        <v>-29.216999999999985</v>
      </c>
      <c r="O8">
        <f t="shared" si="0"/>
        <v>-28.282300000000021</v>
      </c>
      <c r="P8">
        <f t="shared" si="0"/>
        <v>-27.24939999999998</v>
      </c>
      <c r="Q8">
        <f t="shared" si="0"/>
        <v>-26.244100000000003</v>
      </c>
      <c r="R8">
        <f t="shared" si="0"/>
        <v>-25.355000000000018</v>
      </c>
      <c r="S8">
        <f t="shared" si="0"/>
        <v>-24.625400000000013</v>
      </c>
      <c r="T8">
        <f t="shared" si="0"/>
        <v>-24.058800000000019</v>
      </c>
      <c r="U8">
        <f t="shared" si="0"/>
        <v>-23.5976</v>
      </c>
      <c r="V8">
        <f t="shared" si="0"/>
        <v>-23.08850000000001</v>
      </c>
      <c r="W8">
        <f t="shared" si="0"/>
        <v>-22.34899999999999</v>
      </c>
      <c r="X8">
        <f t="shared" si="0"/>
        <v>-21.359100000000012</v>
      </c>
      <c r="Y8">
        <f t="shared" si="0"/>
        <v>-20.22969999999998</v>
      </c>
      <c r="Z8">
        <f t="shared" si="0"/>
        <v>-19.145199999999988</v>
      </c>
      <c r="AA8">
        <f t="shared" si="0"/>
        <v>-18.252299999999991</v>
      </c>
      <c r="AB8">
        <f t="shared" si="0"/>
        <v>-17.620200000000011</v>
      </c>
      <c r="AC8">
        <f t="shared" si="0"/>
        <v>-17.202099999999973</v>
      </c>
      <c r="AD8">
        <f t="shared" si="0"/>
        <v>-16.872700000000009</v>
      </c>
      <c r="AE8">
        <f t="shared" si="0"/>
        <v>-16.420299999999997</v>
      </c>
      <c r="AF8">
        <f t="shared" si="0"/>
        <v>-15.668299999999988</v>
      </c>
      <c r="AG8">
        <f t="shared" si="0"/>
        <v>-14.606899999999996</v>
      </c>
      <c r="AH8">
        <f t="shared" si="0"/>
        <v>-13.397299999999973</v>
      </c>
      <c r="AI8">
        <f t="shared" si="0"/>
        <v>-12.277600000000007</v>
      </c>
      <c r="AJ8">
        <f t="shared" si="0"/>
        <v>-11.429899999999975</v>
      </c>
      <c r="AK8">
        <f t="shared" si="0"/>
        <v>-10.914499999999975</v>
      </c>
      <c r="AL8">
        <f t="shared" si="0"/>
        <v>-10.63130000000001</v>
      </c>
      <c r="AM8">
        <f t="shared" si="0"/>
        <v>-10.374199999999973</v>
      </c>
      <c r="AN8">
        <f t="shared" si="0"/>
        <v>-9.897199999999998</v>
      </c>
      <c r="AO8">
        <f t="shared" si="0"/>
        <v>-9.0452999999999975</v>
      </c>
      <c r="AP8">
        <f t="shared" si="0"/>
        <v>-7.879099999999994</v>
      </c>
      <c r="AQ8">
        <f t="shared" si="0"/>
        <v>-6.6313999999999851</v>
      </c>
      <c r="AR8">
        <f t="shared" si="0"/>
        <v>-5.5620999999999867</v>
      </c>
      <c r="AS8">
        <f t="shared" si="0"/>
        <v>-4.862199999999973</v>
      </c>
      <c r="AT8">
        <f t="shared" si="0"/>
        <v>-4.5090000000000146</v>
      </c>
      <c r="AU8">
        <f t="shared" si="0"/>
        <v>-4.3299999999999841</v>
      </c>
      <c r="AV8">
        <f t="shared" si="0"/>
        <v>-4.0486000000000217</v>
      </c>
      <c r="AW8">
        <f t="shared" si="0"/>
        <v>-3.4175000000000182</v>
      </c>
      <c r="AX8">
        <f t="shared" si="0"/>
        <v>-2.3822000000000116</v>
      </c>
      <c r="AY8">
        <f t="shared" si="0"/>
        <v>-1.1016999999999939</v>
      </c>
      <c r="AZ8">
        <f>AZ7*1</f>
        <v>0.13400960000000001</v>
      </c>
      <c r="BA8">
        <f t="shared" ref="BA8:CX8" si="1">BA7*1</f>
        <v>1.0318430000000001</v>
      </c>
      <c r="BB8">
        <f t="shared" si="1"/>
        <v>1.4873479999999999</v>
      </c>
      <c r="BC8">
        <f t="shared" si="1"/>
        <v>1.6658809999999999</v>
      </c>
      <c r="BD8">
        <f t="shared" si="1"/>
        <v>1.85547</v>
      </c>
      <c r="BE8">
        <f t="shared" si="1"/>
        <v>2.343696</v>
      </c>
      <c r="BF8">
        <f t="shared" si="1"/>
        <v>3.2700230000000001</v>
      </c>
      <c r="BG8">
        <f t="shared" si="1"/>
        <v>4.5299459999999998</v>
      </c>
      <c r="BH8">
        <f t="shared" si="1"/>
        <v>5.8254799999999998</v>
      </c>
      <c r="BI8">
        <f t="shared" si="1"/>
        <v>6.8259449999999999</v>
      </c>
      <c r="BJ8">
        <f t="shared" si="1"/>
        <v>7.3541350000000003</v>
      </c>
      <c r="BK8">
        <f t="shared" si="1"/>
        <v>7.544028</v>
      </c>
      <c r="BL8">
        <f t="shared" si="1"/>
        <v>7.7158689999999996</v>
      </c>
      <c r="BM8">
        <f t="shared" si="1"/>
        <v>8.1821789999999996</v>
      </c>
      <c r="BN8">
        <f t="shared" si="1"/>
        <v>9.0946660000000001</v>
      </c>
      <c r="BO8">
        <f t="shared" si="1"/>
        <v>10.354229999999999</v>
      </c>
      <c r="BP8">
        <f t="shared" si="1"/>
        <v>11.659649999999999</v>
      </c>
      <c r="BQ8">
        <f t="shared" si="1"/>
        <v>12.64245</v>
      </c>
      <c r="BR8">
        <f t="shared" si="1"/>
        <v>13.13022</v>
      </c>
      <c r="BS8">
        <f t="shared" si="1"/>
        <v>13.306480000000001</v>
      </c>
      <c r="BT8">
        <f t="shared" si="1"/>
        <v>13.538029999999999</v>
      </c>
      <c r="BU8">
        <f t="shared" si="1"/>
        <v>14.126010000000001</v>
      </c>
      <c r="BV8">
        <f t="shared" si="1"/>
        <v>15.14719</v>
      </c>
      <c r="BW8">
        <f t="shared" si="1"/>
        <v>16.448720000000002</v>
      </c>
      <c r="BX8">
        <f t="shared" si="1"/>
        <v>17.678699999999999</v>
      </c>
      <c r="BY8">
        <f t="shared" si="1"/>
        <v>18.4803</v>
      </c>
      <c r="BZ8">
        <f t="shared" si="1"/>
        <v>18.813839999999999</v>
      </c>
      <c r="CA8">
        <f t="shared" si="1"/>
        <v>19.021460000000001</v>
      </c>
      <c r="CB8">
        <f t="shared" si="1"/>
        <v>19.482800000000001</v>
      </c>
      <c r="CC8">
        <f t="shared" si="1"/>
        <v>20.336919999999999</v>
      </c>
      <c r="CD8">
        <f t="shared" si="1"/>
        <v>21.532489999999999</v>
      </c>
      <c r="CE8">
        <f t="shared" si="1"/>
        <v>22.80003</v>
      </c>
      <c r="CF8">
        <f t="shared" si="1"/>
        <v>23.727959999999999</v>
      </c>
      <c r="CG8">
        <f t="shared" si="1"/>
        <v>24.168710000000001</v>
      </c>
      <c r="CH8">
        <f t="shared" si="1"/>
        <v>24.46472</v>
      </c>
      <c r="CI8">
        <f t="shared" si="1"/>
        <v>25.00244</v>
      </c>
      <c r="CJ8">
        <f t="shared" si="1"/>
        <v>25.862130000000001</v>
      </c>
      <c r="CK8">
        <f t="shared" si="1"/>
        <v>26.99213</v>
      </c>
      <c r="CL8">
        <f t="shared" si="1"/>
        <v>28.183959999999999</v>
      </c>
      <c r="CM8">
        <f t="shared" si="1"/>
        <v>29.00235</v>
      </c>
      <c r="CN8">
        <f t="shared" si="1"/>
        <v>29.434180000000001</v>
      </c>
      <c r="CO8">
        <f t="shared" si="1"/>
        <v>29.93553</v>
      </c>
      <c r="CP8">
        <f t="shared" si="1"/>
        <v>30.706849999999999</v>
      </c>
      <c r="CQ8">
        <f t="shared" si="1"/>
        <v>31.622530000000001</v>
      </c>
      <c r="CR8">
        <f t="shared" si="1"/>
        <v>32.713540000000002</v>
      </c>
      <c r="CS8">
        <f t="shared" si="1"/>
        <v>33.622950000000003</v>
      </c>
      <c r="CT8">
        <f t="shared" si="1"/>
        <v>34.1462</v>
      </c>
      <c r="CU8">
        <f t="shared" si="1"/>
        <v>34.828589999999998</v>
      </c>
      <c r="CV8">
        <f t="shared" si="1"/>
        <v>35.668219999999998</v>
      </c>
      <c r="CW8">
        <f t="shared" si="1"/>
        <v>36.410060000000001</v>
      </c>
      <c r="CX8">
        <f t="shared" si="1"/>
        <v>0</v>
      </c>
    </row>
    <row r="9" spans="1:102" x14ac:dyDescent="0.3">
      <c r="A9">
        <f>A2*1</f>
        <v>-39.200000000000003</v>
      </c>
      <c r="B9">
        <f t="shared" ref="B9:BM9" si="2">B2*1</f>
        <v>-38.4</v>
      </c>
      <c r="C9">
        <f t="shared" si="2"/>
        <v>-37.6</v>
      </c>
      <c r="D9">
        <f t="shared" si="2"/>
        <v>-36.799999999999997</v>
      </c>
      <c r="E9">
        <f t="shared" si="2"/>
        <v>-36</v>
      </c>
      <c r="F9">
        <f t="shared" si="2"/>
        <v>-35.200000000000003</v>
      </c>
      <c r="G9">
        <f t="shared" si="2"/>
        <v>-34.400010000000002</v>
      </c>
      <c r="H9">
        <f t="shared" si="2"/>
        <v>-33.600009999999997</v>
      </c>
      <c r="I9">
        <f t="shared" si="2"/>
        <v>-32.80001</v>
      </c>
      <c r="J9">
        <f t="shared" si="2"/>
        <v>-32.000010000000003</v>
      </c>
      <c r="K9">
        <f t="shared" si="2"/>
        <v>-31.200009999999999</v>
      </c>
      <c r="L9">
        <f t="shared" si="2"/>
        <v>-30.400010000000002</v>
      </c>
      <c r="M9">
        <f t="shared" si="2"/>
        <v>-29.600010000000001</v>
      </c>
      <c r="N9">
        <f t="shared" si="2"/>
        <v>-28.80001</v>
      </c>
      <c r="O9">
        <f t="shared" si="2"/>
        <v>-28.00001</v>
      </c>
      <c r="P9">
        <f t="shared" si="2"/>
        <v>-27.200009999999999</v>
      </c>
      <c r="Q9">
        <f t="shared" si="2"/>
        <v>-26.400010000000002</v>
      </c>
      <c r="R9">
        <f t="shared" si="2"/>
        <v>-25.600010000000001</v>
      </c>
      <c r="S9">
        <f t="shared" si="2"/>
        <v>-24.80001</v>
      </c>
      <c r="T9">
        <f t="shared" si="2"/>
        <v>-24.000019999999999</v>
      </c>
      <c r="U9">
        <f t="shared" si="2"/>
        <v>-23.200019999999999</v>
      </c>
      <c r="V9">
        <f t="shared" si="2"/>
        <v>-22.400020000000001</v>
      </c>
      <c r="W9">
        <f t="shared" si="2"/>
        <v>-21.600020000000001</v>
      </c>
      <c r="X9">
        <f t="shared" si="2"/>
        <v>-20.80002</v>
      </c>
      <c r="Y9">
        <f t="shared" si="2"/>
        <v>-20.000019999999999</v>
      </c>
      <c r="Z9">
        <f t="shared" si="2"/>
        <v>-19.200019999999999</v>
      </c>
      <c r="AA9">
        <f t="shared" si="2"/>
        <v>-18.400020000000001</v>
      </c>
      <c r="AB9">
        <f t="shared" si="2"/>
        <v>-17.600020000000001</v>
      </c>
      <c r="AC9">
        <f t="shared" si="2"/>
        <v>-16.80002</v>
      </c>
      <c r="AD9">
        <f t="shared" si="2"/>
        <v>-16.000019999999999</v>
      </c>
      <c r="AE9">
        <f t="shared" si="2"/>
        <v>-15.20002</v>
      </c>
      <c r="AF9">
        <f t="shared" si="2"/>
        <v>-14.40002</v>
      </c>
      <c r="AG9">
        <f t="shared" si="2"/>
        <v>-13.600020000000001</v>
      </c>
      <c r="AH9">
        <f t="shared" si="2"/>
        <v>-12.80002</v>
      </c>
      <c r="AI9">
        <f t="shared" si="2"/>
        <v>-12.000019999999999</v>
      </c>
      <c r="AJ9">
        <f t="shared" si="2"/>
        <v>-11.20002</v>
      </c>
      <c r="AK9">
        <f t="shared" si="2"/>
        <v>-10.40002</v>
      </c>
      <c r="AL9">
        <f t="shared" si="2"/>
        <v>-9.6000209999999999</v>
      </c>
      <c r="AM9">
        <f t="shared" si="2"/>
        <v>-8.8000209999999992</v>
      </c>
      <c r="AN9">
        <f t="shared" si="2"/>
        <v>-8.0000210000000003</v>
      </c>
      <c r="AO9">
        <f t="shared" si="2"/>
        <v>-7.2000209999999996</v>
      </c>
      <c r="AP9">
        <f t="shared" si="2"/>
        <v>-6.4000209999999997</v>
      </c>
      <c r="AQ9">
        <f t="shared" si="2"/>
        <v>-5.6000199999999998</v>
      </c>
      <c r="AR9">
        <f t="shared" si="2"/>
        <v>-4.80002</v>
      </c>
      <c r="AS9">
        <f t="shared" si="2"/>
        <v>-4.0000200000000001</v>
      </c>
      <c r="AT9">
        <f t="shared" si="2"/>
        <v>-3.2000199999999999</v>
      </c>
      <c r="AU9">
        <f t="shared" si="2"/>
        <v>-2.40002</v>
      </c>
      <c r="AV9">
        <f t="shared" si="2"/>
        <v>-1.60002</v>
      </c>
      <c r="AW9">
        <f t="shared" si="2"/>
        <v>-0.80002019999999996</v>
      </c>
      <c r="AX9">
        <f t="shared" si="2"/>
        <v>-2.0146369999999999E-5</v>
      </c>
      <c r="AY9">
        <f t="shared" si="2"/>
        <v>0.79997989999999997</v>
      </c>
      <c r="AZ9">
        <f t="shared" si="2"/>
        <v>1.59998</v>
      </c>
      <c r="BA9">
        <f t="shared" si="2"/>
        <v>2.3999799999999998</v>
      </c>
      <c r="BB9">
        <f t="shared" si="2"/>
        <v>3.19998</v>
      </c>
      <c r="BC9">
        <f t="shared" si="2"/>
        <v>3.9999799999999999</v>
      </c>
      <c r="BD9">
        <f t="shared" si="2"/>
        <v>4.7999799999999997</v>
      </c>
      <c r="BE9">
        <f t="shared" si="2"/>
        <v>5.5999800000000004</v>
      </c>
      <c r="BF9">
        <f t="shared" si="2"/>
        <v>6.3999800000000002</v>
      </c>
      <c r="BG9">
        <f t="shared" si="2"/>
        <v>7.19998</v>
      </c>
      <c r="BH9">
        <f t="shared" si="2"/>
        <v>7.9999799999999999</v>
      </c>
      <c r="BI9">
        <f t="shared" si="2"/>
        <v>8.7999799999999997</v>
      </c>
      <c r="BJ9">
        <f t="shared" si="2"/>
        <v>9.5999800000000004</v>
      </c>
      <c r="BK9">
        <f t="shared" si="2"/>
        <v>10.399979999999999</v>
      </c>
      <c r="BL9">
        <f t="shared" si="2"/>
        <v>11.19998</v>
      </c>
      <c r="BM9">
        <f t="shared" si="2"/>
        <v>11.999980000000001</v>
      </c>
      <c r="BN9">
        <f t="shared" ref="BN9:CX9" si="3">BN2*1</f>
        <v>12.79998</v>
      </c>
      <c r="BO9">
        <f t="shared" si="3"/>
        <v>13.59998</v>
      </c>
      <c r="BP9">
        <f t="shared" si="3"/>
        <v>14.399979999999999</v>
      </c>
      <c r="BQ9">
        <f t="shared" si="3"/>
        <v>15.19998</v>
      </c>
      <c r="BR9">
        <f t="shared" si="3"/>
        <v>15.999980000000001</v>
      </c>
      <c r="BS9">
        <f t="shared" si="3"/>
        <v>16.799980000000001</v>
      </c>
      <c r="BT9">
        <f t="shared" si="3"/>
        <v>17.599979999999999</v>
      </c>
      <c r="BU9">
        <f t="shared" si="3"/>
        <v>18.399979999999999</v>
      </c>
      <c r="BV9">
        <f t="shared" si="3"/>
        <v>19.19998</v>
      </c>
      <c r="BW9">
        <f t="shared" si="3"/>
        <v>19.999980000000001</v>
      </c>
      <c r="BX9">
        <f t="shared" si="3"/>
        <v>20.799980000000001</v>
      </c>
      <c r="BY9">
        <f t="shared" si="3"/>
        <v>21.599979999999999</v>
      </c>
      <c r="BZ9">
        <f t="shared" si="3"/>
        <v>22.399979999999999</v>
      </c>
      <c r="CA9">
        <f t="shared" si="3"/>
        <v>23.19998</v>
      </c>
      <c r="CB9">
        <f t="shared" si="3"/>
        <v>23.999980000000001</v>
      </c>
      <c r="CC9">
        <f t="shared" si="3"/>
        <v>24.799969999999998</v>
      </c>
      <c r="CD9">
        <f t="shared" si="3"/>
        <v>25.599969999999999</v>
      </c>
      <c r="CE9">
        <f t="shared" si="3"/>
        <v>26.39997</v>
      </c>
      <c r="CF9">
        <f t="shared" si="3"/>
        <v>27.19997</v>
      </c>
      <c r="CG9">
        <f t="shared" si="3"/>
        <v>27.999970000000001</v>
      </c>
      <c r="CH9">
        <f t="shared" si="3"/>
        <v>28.799969999999998</v>
      </c>
      <c r="CI9">
        <f t="shared" si="3"/>
        <v>29.599969999999999</v>
      </c>
      <c r="CJ9">
        <f t="shared" si="3"/>
        <v>30.39997</v>
      </c>
      <c r="CK9">
        <f t="shared" si="3"/>
        <v>31.19997</v>
      </c>
      <c r="CL9">
        <f t="shared" si="3"/>
        <v>31.999970000000001</v>
      </c>
      <c r="CM9">
        <f t="shared" si="3"/>
        <v>32.799970000000002</v>
      </c>
      <c r="CN9">
        <f t="shared" si="3"/>
        <v>33.599969999999999</v>
      </c>
      <c r="CO9">
        <f t="shared" si="3"/>
        <v>34.399970000000003</v>
      </c>
      <c r="CP9">
        <f t="shared" si="3"/>
        <v>35.19997</v>
      </c>
      <c r="CQ9">
        <f t="shared" si="3"/>
        <v>35.999969999999998</v>
      </c>
      <c r="CR9">
        <f t="shared" si="3"/>
        <v>36.799959999999999</v>
      </c>
      <c r="CS9">
        <f t="shared" si="3"/>
        <v>37.599960000000003</v>
      </c>
      <c r="CT9">
        <f t="shared" si="3"/>
        <v>38.39996</v>
      </c>
      <c r="CU9">
        <f t="shared" si="3"/>
        <v>39.199959999999997</v>
      </c>
      <c r="CV9">
        <f t="shared" si="3"/>
        <v>39.999960000000002</v>
      </c>
      <c r="CW9">
        <f t="shared" si="3"/>
        <v>40.799959999999999</v>
      </c>
      <c r="CX9">
        <f t="shared" si="3"/>
        <v>0</v>
      </c>
    </row>
    <row r="11" spans="1:102" x14ac:dyDescent="0.3">
      <c r="A11">
        <v>0.1</v>
      </c>
      <c r="B11">
        <f>A11+0.1</f>
        <v>0.2</v>
      </c>
      <c r="C11">
        <f t="shared" ref="C11:BN11" si="4">B11+0.1</f>
        <v>0.30000000000000004</v>
      </c>
      <c r="D11">
        <f t="shared" si="4"/>
        <v>0.4</v>
      </c>
      <c r="E11">
        <f t="shared" si="4"/>
        <v>0.5</v>
      </c>
      <c r="F11">
        <f t="shared" si="4"/>
        <v>0.6</v>
      </c>
      <c r="G11">
        <f t="shared" si="4"/>
        <v>0.7</v>
      </c>
      <c r="H11">
        <f t="shared" si="4"/>
        <v>0.79999999999999993</v>
      </c>
      <c r="I11">
        <f t="shared" si="4"/>
        <v>0.89999999999999991</v>
      </c>
      <c r="J11">
        <f t="shared" si="4"/>
        <v>0.99999999999999989</v>
      </c>
      <c r="K11">
        <f t="shared" si="4"/>
        <v>1.0999999999999999</v>
      </c>
      <c r="L11">
        <f t="shared" si="4"/>
        <v>1.2</v>
      </c>
      <c r="M11">
        <f t="shared" si="4"/>
        <v>1.3</v>
      </c>
      <c r="N11">
        <f t="shared" si="4"/>
        <v>1.4000000000000001</v>
      </c>
      <c r="O11">
        <f t="shared" si="4"/>
        <v>1.5000000000000002</v>
      </c>
      <c r="P11">
        <f t="shared" si="4"/>
        <v>1.6000000000000003</v>
      </c>
      <c r="Q11">
        <f t="shared" si="4"/>
        <v>1.7000000000000004</v>
      </c>
      <c r="R11">
        <f t="shared" si="4"/>
        <v>1.8000000000000005</v>
      </c>
      <c r="S11">
        <f t="shared" si="4"/>
        <v>1.9000000000000006</v>
      </c>
      <c r="T11">
        <f t="shared" si="4"/>
        <v>2.0000000000000004</v>
      </c>
      <c r="U11">
        <f t="shared" si="4"/>
        <v>2.1000000000000005</v>
      </c>
      <c r="V11">
        <f t="shared" si="4"/>
        <v>2.2000000000000006</v>
      </c>
      <c r="W11">
        <f t="shared" si="4"/>
        <v>2.3000000000000007</v>
      </c>
      <c r="X11">
        <f t="shared" si="4"/>
        <v>2.4000000000000008</v>
      </c>
      <c r="Y11">
        <f t="shared" si="4"/>
        <v>2.5000000000000009</v>
      </c>
      <c r="Z11">
        <f t="shared" si="4"/>
        <v>2.600000000000001</v>
      </c>
      <c r="AA11">
        <f t="shared" si="4"/>
        <v>2.7000000000000011</v>
      </c>
      <c r="AB11">
        <f t="shared" si="4"/>
        <v>2.8000000000000012</v>
      </c>
      <c r="AC11">
        <f t="shared" si="4"/>
        <v>2.9000000000000012</v>
      </c>
      <c r="AD11">
        <f t="shared" si="4"/>
        <v>3.0000000000000013</v>
      </c>
      <c r="AE11">
        <f t="shared" si="4"/>
        <v>3.1000000000000014</v>
      </c>
      <c r="AF11">
        <f t="shared" si="4"/>
        <v>3.2000000000000015</v>
      </c>
      <c r="AG11">
        <f t="shared" si="4"/>
        <v>3.3000000000000016</v>
      </c>
      <c r="AH11">
        <f t="shared" si="4"/>
        <v>3.4000000000000017</v>
      </c>
      <c r="AI11">
        <f t="shared" si="4"/>
        <v>3.5000000000000018</v>
      </c>
      <c r="AJ11">
        <f t="shared" si="4"/>
        <v>3.6000000000000019</v>
      </c>
      <c r="AK11">
        <f t="shared" si="4"/>
        <v>3.700000000000002</v>
      </c>
      <c r="AL11">
        <f t="shared" si="4"/>
        <v>3.800000000000002</v>
      </c>
      <c r="AM11">
        <f t="shared" si="4"/>
        <v>3.9000000000000021</v>
      </c>
      <c r="AN11">
        <f t="shared" si="4"/>
        <v>4.0000000000000018</v>
      </c>
      <c r="AO11">
        <f t="shared" si="4"/>
        <v>4.1000000000000014</v>
      </c>
      <c r="AP11">
        <f t="shared" si="4"/>
        <v>4.2000000000000011</v>
      </c>
      <c r="AQ11">
        <f t="shared" si="4"/>
        <v>4.3000000000000007</v>
      </c>
      <c r="AR11">
        <f t="shared" si="4"/>
        <v>4.4000000000000004</v>
      </c>
      <c r="AS11">
        <f t="shared" si="4"/>
        <v>4.5</v>
      </c>
      <c r="AT11">
        <f t="shared" si="4"/>
        <v>4.5999999999999996</v>
      </c>
      <c r="AU11">
        <f t="shared" si="4"/>
        <v>4.6999999999999993</v>
      </c>
      <c r="AV11">
        <f t="shared" si="4"/>
        <v>4.7999999999999989</v>
      </c>
      <c r="AW11">
        <f t="shared" si="4"/>
        <v>4.8999999999999986</v>
      </c>
      <c r="AX11">
        <f t="shared" si="4"/>
        <v>4.9999999999999982</v>
      </c>
      <c r="AY11">
        <f t="shared" si="4"/>
        <v>5.0999999999999979</v>
      </c>
      <c r="AZ11">
        <f t="shared" si="4"/>
        <v>5.1999999999999975</v>
      </c>
      <c r="BA11">
        <f t="shared" si="4"/>
        <v>5.2999999999999972</v>
      </c>
      <c r="BB11">
        <f t="shared" si="4"/>
        <v>5.3999999999999968</v>
      </c>
      <c r="BC11">
        <f t="shared" si="4"/>
        <v>5.4999999999999964</v>
      </c>
      <c r="BD11">
        <f t="shared" si="4"/>
        <v>5.5999999999999961</v>
      </c>
      <c r="BE11">
        <f t="shared" si="4"/>
        <v>5.6999999999999957</v>
      </c>
      <c r="BF11">
        <f t="shared" si="4"/>
        <v>5.7999999999999954</v>
      </c>
      <c r="BG11">
        <f t="shared" si="4"/>
        <v>5.899999999999995</v>
      </c>
      <c r="BH11">
        <f t="shared" si="4"/>
        <v>5.9999999999999947</v>
      </c>
      <c r="BI11">
        <f t="shared" si="4"/>
        <v>6.0999999999999943</v>
      </c>
      <c r="BJ11">
        <f t="shared" si="4"/>
        <v>6.199999999999994</v>
      </c>
      <c r="BK11">
        <f t="shared" si="4"/>
        <v>6.2999999999999936</v>
      </c>
      <c r="BL11">
        <f t="shared" si="4"/>
        <v>6.3999999999999932</v>
      </c>
      <c r="BM11">
        <f t="shared" si="4"/>
        <v>6.4999999999999929</v>
      </c>
      <c r="BN11">
        <f t="shared" si="4"/>
        <v>6.5999999999999925</v>
      </c>
      <c r="BO11">
        <f t="shared" ref="BO11:CW11" si="5">BN11+0.1</f>
        <v>6.6999999999999922</v>
      </c>
      <c r="BP11">
        <f t="shared" si="5"/>
        <v>6.7999999999999918</v>
      </c>
      <c r="BQ11">
        <f t="shared" si="5"/>
        <v>6.8999999999999915</v>
      </c>
      <c r="BR11">
        <f t="shared" si="5"/>
        <v>6.9999999999999911</v>
      </c>
      <c r="BS11">
        <f t="shared" si="5"/>
        <v>7.0999999999999908</v>
      </c>
      <c r="BT11">
        <f t="shared" si="5"/>
        <v>7.1999999999999904</v>
      </c>
      <c r="BU11">
        <f t="shared" si="5"/>
        <v>7.2999999999999901</v>
      </c>
      <c r="BV11">
        <f t="shared" si="5"/>
        <v>7.3999999999999897</v>
      </c>
      <c r="BW11">
        <f t="shared" si="5"/>
        <v>7.4999999999999893</v>
      </c>
      <c r="BX11">
        <f t="shared" si="5"/>
        <v>7.599999999999989</v>
      </c>
      <c r="BY11">
        <f t="shared" si="5"/>
        <v>7.6999999999999886</v>
      </c>
      <c r="BZ11">
        <f t="shared" si="5"/>
        <v>7.7999999999999883</v>
      </c>
      <c r="CA11">
        <f t="shared" si="5"/>
        <v>7.8999999999999879</v>
      </c>
      <c r="CB11">
        <f t="shared" si="5"/>
        <v>7.9999999999999876</v>
      </c>
      <c r="CC11">
        <f t="shared" si="5"/>
        <v>8.0999999999999872</v>
      </c>
      <c r="CD11">
        <f t="shared" si="5"/>
        <v>8.1999999999999869</v>
      </c>
      <c r="CE11">
        <f t="shared" si="5"/>
        <v>8.2999999999999865</v>
      </c>
      <c r="CF11">
        <f t="shared" si="5"/>
        <v>8.3999999999999861</v>
      </c>
      <c r="CG11">
        <f t="shared" si="5"/>
        <v>8.4999999999999858</v>
      </c>
      <c r="CH11">
        <f t="shared" si="5"/>
        <v>8.5999999999999854</v>
      </c>
      <c r="CI11">
        <f t="shared" si="5"/>
        <v>8.6999999999999851</v>
      </c>
      <c r="CJ11">
        <f t="shared" si="5"/>
        <v>8.7999999999999847</v>
      </c>
      <c r="CK11">
        <f t="shared" si="5"/>
        <v>8.8999999999999844</v>
      </c>
      <c r="CL11">
        <f t="shared" si="5"/>
        <v>8.999999999999984</v>
      </c>
      <c r="CM11">
        <f t="shared" si="5"/>
        <v>9.0999999999999837</v>
      </c>
      <c r="CN11">
        <f t="shared" si="5"/>
        <v>9.1999999999999833</v>
      </c>
      <c r="CO11">
        <f t="shared" si="5"/>
        <v>9.2999999999999829</v>
      </c>
      <c r="CP11">
        <f t="shared" si="5"/>
        <v>9.3999999999999826</v>
      </c>
      <c r="CQ11">
        <f t="shared" si="5"/>
        <v>9.4999999999999822</v>
      </c>
      <c r="CR11">
        <f t="shared" si="5"/>
        <v>9.5999999999999819</v>
      </c>
      <c r="CS11">
        <f t="shared" si="5"/>
        <v>9.6999999999999815</v>
      </c>
      <c r="CT11">
        <f t="shared" si="5"/>
        <v>9.7999999999999812</v>
      </c>
      <c r="CU11">
        <f t="shared" si="5"/>
        <v>9.8999999999999808</v>
      </c>
      <c r="CV11">
        <f t="shared" si="5"/>
        <v>9.9999999999999805</v>
      </c>
      <c r="CW11">
        <f t="shared" si="5"/>
        <v>10.09999999999998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40FE-9874-455B-880C-20B9D331B6B2}">
  <dimension ref="A2:AN26"/>
  <sheetViews>
    <sheetView tabSelected="1" topLeftCell="O1" workbookViewId="0">
      <selection activeCell="AC19" sqref="AC19"/>
    </sheetView>
  </sheetViews>
  <sheetFormatPr defaultRowHeight="14.4" x14ac:dyDescent="0.3"/>
  <cols>
    <col min="1" max="1" width="13.77734375" customWidth="1"/>
  </cols>
  <sheetData>
    <row r="2" spans="1:40" x14ac:dyDescent="0.3">
      <c r="A2" t="s">
        <v>3453</v>
      </c>
      <c r="B2">
        <v>0</v>
      </c>
      <c r="C2">
        <f>B2+25</f>
        <v>25</v>
      </c>
      <c r="D2">
        <f t="shared" ref="D2:K2" si="0">C2+25</f>
        <v>50</v>
      </c>
      <c r="E2">
        <f t="shared" si="0"/>
        <v>75</v>
      </c>
      <c r="F2">
        <f t="shared" si="0"/>
        <v>100</v>
      </c>
      <c r="G2">
        <f t="shared" si="0"/>
        <v>125</v>
      </c>
      <c r="H2">
        <f t="shared" si="0"/>
        <v>150</v>
      </c>
      <c r="I2">
        <f t="shared" si="0"/>
        <v>175</v>
      </c>
      <c r="J2">
        <f>I2+25</f>
        <v>200</v>
      </c>
      <c r="K2">
        <f t="shared" si="0"/>
        <v>225</v>
      </c>
    </row>
    <row r="3" spans="1:40" x14ac:dyDescent="0.3">
      <c r="A3" t="s">
        <v>3454</v>
      </c>
      <c r="B3">
        <v>0</v>
      </c>
      <c r="C3">
        <v>15</v>
      </c>
      <c r="D3">
        <v>28</v>
      </c>
      <c r="E3">
        <v>52</v>
      </c>
      <c r="F3">
        <v>79</v>
      </c>
      <c r="G3">
        <v>101</v>
      </c>
      <c r="H3">
        <v>129</v>
      </c>
      <c r="I3">
        <v>152</v>
      </c>
      <c r="J3">
        <v>179</v>
      </c>
      <c r="K3">
        <v>201</v>
      </c>
      <c r="AN3" t="s">
        <v>3462</v>
      </c>
    </row>
    <row r="5" spans="1:40" x14ac:dyDescent="0.3">
      <c r="A5" t="s">
        <v>3461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40" x14ac:dyDescent="0.3">
      <c r="A6" t="s">
        <v>3456</v>
      </c>
      <c r="B6">
        <v>0.1</v>
      </c>
      <c r="C6">
        <v>0.1</v>
      </c>
      <c r="D6">
        <v>-0.5</v>
      </c>
      <c r="E6">
        <v>-0.5</v>
      </c>
      <c r="F6">
        <v>-0.8</v>
      </c>
      <c r="G6">
        <v>-1.1000000000000001</v>
      </c>
      <c r="H6">
        <v>-0.9</v>
      </c>
      <c r="I6">
        <v>-1.4</v>
      </c>
      <c r="J6">
        <v>-1.4</v>
      </c>
      <c r="K6">
        <v>-1.5</v>
      </c>
    </row>
    <row r="7" spans="1:40" x14ac:dyDescent="0.3">
      <c r="A7" t="s">
        <v>3457</v>
      </c>
      <c r="B7">
        <v>1.6</v>
      </c>
      <c r="C7">
        <v>2</v>
      </c>
      <c r="D7">
        <v>1.6</v>
      </c>
      <c r="E7">
        <v>0.1</v>
      </c>
      <c r="F7">
        <v>-0.2</v>
      </c>
      <c r="G7">
        <v>-1.2</v>
      </c>
      <c r="H7">
        <v>-1.2</v>
      </c>
      <c r="I7">
        <v>-1.7</v>
      </c>
      <c r="J7">
        <v>-1.3</v>
      </c>
      <c r="K7">
        <v>-0.3</v>
      </c>
    </row>
    <row r="8" spans="1:40" x14ac:dyDescent="0.3">
      <c r="A8" t="s">
        <v>3458</v>
      </c>
      <c r="B8">
        <v>0.3</v>
      </c>
      <c r="C8">
        <v>0.4</v>
      </c>
      <c r="D8">
        <v>0.2</v>
      </c>
      <c r="E8">
        <v>0.6</v>
      </c>
      <c r="F8">
        <v>0.4</v>
      </c>
      <c r="G8">
        <v>0.2</v>
      </c>
      <c r="H8">
        <v>0.4</v>
      </c>
      <c r="I8">
        <v>0.3</v>
      </c>
      <c r="J8">
        <v>0.1</v>
      </c>
      <c r="K8">
        <v>0.2</v>
      </c>
    </row>
    <row r="10" spans="1:40" x14ac:dyDescent="0.3">
      <c r="A10" t="s">
        <v>3461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40" x14ac:dyDescent="0.3">
      <c r="A11" t="s">
        <v>3455</v>
      </c>
      <c r="B11">
        <v>-20</v>
      </c>
      <c r="C11">
        <f>B11+5</f>
        <v>-15</v>
      </c>
      <c r="D11">
        <f t="shared" ref="D11:I11" si="1">C11+5</f>
        <v>-10</v>
      </c>
      <c r="E11">
        <f t="shared" si="1"/>
        <v>-5</v>
      </c>
      <c r="F11">
        <f t="shared" si="1"/>
        <v>0</v>
      </c>
      <c r="G11">
        <f t="shared" si="1"/>
        <v>5</v>
      </c>
      <c r="H11">
        <f t="shared" si="1"/>
        <v>10</v>
      </c>
      <c r="I11">
        <f t="shared" si="1"/>
        <v>15</v>
      </c>
      <c r="J11">
        <f>I11+5</f>
        <v>20</v>
      </c>
    </row>
    <row r="12" spans="1:40" x14ac:dyDescent="0.3">
      <c r="A12" t="s">
        <v>3456</v>
      </c>
      <c r="B12">
        <v>-20.9</v>
      </c>
      <c r="C12">
        <v>-16</v>
      </c>
      <c r="D12">
        <v>-10.9</v>
      </c>
      <c r="E12">
        <v>-6</v>
      </c>
      <c r="F12">
        <v>-1.2</v>
      </c>
      <c r="G12">
        <v>3.4</v>
      </c>
      <c r="H12">
        <v>8.3000000000000007</v>
      </c>
      <c r="I12">
        <v>13.1</v>
      </c>
      <c r="J12">
        <v>17.8</v>
      </c>
    </row>
    <row r="13" spans="1:40" x14ac:dyDescent="0.3">
      <c r="A13" t="s">
        <v>3457</v>
      </c>
      <c r="B13">
        <v>-2.5</v>
      </c>
      <c r="C13">
        <v>-2.7</v>
      </c>
      <c r="D13">
        <v>-2.7</v>
      </c>
      <c r="E13">
        <v>-2.8</v>
      </c>
      <c r="F13">
        <v>-2.8</v>
      </c>
      <c r="G13">
        <v>-2.8</v>
      </c>
      <c r="H13">
        <v>-2.5</v>
      </c>
      <c r="I13">
        <v>-1.6</v>
      </c>
      <c r="J13">
        <v>-0.7</v>
      </c>
    </row>
    <row r="14" spans="1:40" x14ac:dyDescent="0.3">
      <c r="A14" t="s">
        <v>3458</v>
      </c>
      <c r="B14">
        <v>-1.5</v>
      </c>
      <c r="C14">
        <v>-0.9</v>
      </c>
      <c r="D14">
        <v>-0.1</v>
      </c>
      <c r="E14">
        <v>0</v>
      </c>
      <c r="F14">
        <v>0.2</v>
      </c>
      <c r="G14">
        <v>0.3</v>
      </c>
      <c r="H14">
        <v>2.2999999999999998</v>
      </c>
      <c r="I14">
        <v>2.2999999999999998</v>
      </c>
      <c r="J14">
        <v>1.3</v>
      </c>
    </row>
    <row r="16" spans="1:40" x14ac:dyDescent="0.3">
      <c r="A16" t="s">
        <v>3461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29" x14ac:dyDescent="0.3">
      <c r="A17" t="s">
        <v>3459</v>
      </c>
      <c r="B17">
        <v>-20</v>
      </c>
      <c r="C17">
        <f>B17+5</f>
        <v>-15</v>
      </c>
      <c r="D17">
        <f t="shared" ref="D17:I17" si="2">C17+5</f>
        <v>-10</v>
      </c>
      <c r="E17">
        <f t="shared" si="2"/>
        <v>-5</v>
      </c>
      <c r="F17">
        <f t="shared" si="2"/>
        <v>0</v>
      </c>
      <c r="G17">
        <f t="shared" si="2"/>
        <v>5</v>
      </c>
      <c r="H17">
        <f t="shared" si="2"/>
        <v>10</v>
      </c>
      <c r="I17">
        <f t="shared" si="2"/>
        <v>15</v>
      </c>
      <c r="J17">
        <f>I17+5</f>
        <v>20</v>
      </c>
    </row>
    <row r="18" spans="1:29" x14ac:dyDescent="0.3">
      <c r="A18" t="s">
        <v>3456</v>
      </c>
      <c r="B18">
        <v>-0.5</v>
      </c>
      <c r="C18">
        <v>-0.5</v>
      </c>
      <c r="D18">
        <v>-0.5</v>
      </c>
      <c r="E18">
        <v>-0.5</v>
      </c>
      <c r="F18">
        <v>-0.5</v>
      </c>
      <c r="G18">
        <v>-0.5</v>
      </c>
      <c r="H18">
        <v>-0.5</v>
      </c>
      <c r="I18">
        <v>-0.5</v>
      </c>
      <c r="J18">
        <v>-0.5</v>
      </c>
    </row>
    <row r="19" spans="1:29" x14ac:dyDescent="0.3">
      <c r="A19" t="s">
        <v>3457</v>
      </c>
      <c r="B19">
        <v>-26.8</v>
      </c>
      <c r="C19">
        <v>-21.2</v>
      </c>
      <c r="D19">
        <v>-15.1</v>
      </c>
      <c r="E19">
        <v>-8.8000000000000007</v>
      </c>
      <c r="F19">
        <v>-2.4</v>
      </c>
      <c r="G19">
        <v>3.2</v>
      </c>
      <c r="H19">
        <v>9.4</v>
      </c>
      <c r="I19">
        <v>15.5</v>
      </c>
      <c r="J19">
        <v>21.5</v>
      </c>
      <c r="AC19" t="s">
        <v>3463</v>
      </c>
    </row>
    <row r="20" spans="1:29" x14ac:dyDescent="0.3">
      <c r="A20" t="s">
        <v>3458</v>
      </c>
      <c r="B20">
        <v>1.8</v>
      </c>
      <c r="C20">
        <v>0.8</v>
      </c>
      <c r="D20">
        <v>0.6</v>
      </c>
      <c r="E20">
        <v>0.5</v>
      </c>
      <c r="F20">
        <v>0.4</v>
      </c>
      <c r="G20">
        <v>-0.4</v>
      </c>
      <c r="H20">
        <v>-1.3</v>
      </c>
      <c r="I20">
        <v>-1.5</v>
      </c>
      <c r="J20">
        <v>-1.9</v>
      </c>
    </row>
    <row r="22" spans="1:29" x14ac:dyDescent="0.3">
      <c r="A22" t="s">
        <v>3461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29" x14ac:dyDescent="0.3">
      <c r="A23" t="s">
        <v>3460</v>
      </c>
      <c r="B23">
        <v>-20</v>
      </c>
      <c r="C23">
        <f>B23+5</f>
        <v>-15</v>
      </c>
      <c r="D23">
        <f t="shared" ref="D23:I23" si="3">C23+5</f>
        <v>-10</v>
      </c>
      <c r="E23">
        <f t="shared" si="3"/>
        <v>-5</v>
      </c>
      <c r="F23">
        <f t="shared" si="3"/>
        <v>0</v>
      </c>
      <c r="G23">
        <f t="shared" si="3"/>
        <v>5</v>
      </c>
      <c r="H23">
        <f t="shared" si="3"/>
        <v>10</v>
      </c>
      <c r="I23">
        <f t="shared" si="3"/>
        <v>15</v>
      </c>
      <c r="J23">
        <f>I23+5</f>
        <v>20</v>
      </c>
    </row>
    <row r="24" spans="1:29" x14ac:dyDescent="0.3">
      <c r="A24" t="s">
        <v>3456</v>
      </c>
      <c r="B24">
        <v>0.3</v>
      </c>
      <c r="C24">
        <v>0.7</v>
      </c>
      <c r="D24">
        <v>0.8</v>
      </c>
      <c r="E24">
        <v>1</v>
      </c>
      <c r="F24">
        <v>1.1000000000000001</v>
      </c>
      <c r="G24">
        <v>0.8</v>
      </c>
      <c r="H24">
        <v>0.5</v>
      </c>
      <c r="I24">
        <v>0.9</v>
      </c>
      <c r="J24">
        <v>0.7</v>
      </c>
    </row>
    <row r="25" spans="1:29" x14ac:dyDescent="0.3">
      <c r="A25" t="s">
        <v>3457</v>
      </c>
      <c r="B25">
        <v>0.6</v>
      </c>
      <c r="C25">
        <v>0.7</v>
      </c>
      <c r="D25">
        <v>0.3</v>
      </c>
      <c r="E25">
        <v>-0.8</v>
      </c>
      <c r="F25">
        <v>-2.5</v>
      </c>
      <c r="G25">
        <v>-1.3</v>
      </c>
      <c r="H25">
        <v>-1.2</v>
      </c>
      <c r="I25">
        <v>-2</v>
      </c>
      <c r="J25">
        <v>-2.2999999999999998</v>
      </c>
    </row>
    <row r="26" spans="1:29" x14ac:dyDescent="0.3">
      <c r="A26" t="s">
        <v>3458</v>
      </c>
      <c r="B26">
        <v>-19.2</v>
      </c>
      <c r="C26">
        <v>-15.2</v>
      </c>
      <c r="D26">
        <v>-10.3</v>
      </c>
      <c r="E26">
        <v>-5.8</v>
      </c>
      <c r="F26">
        <v>0.4</v>
      </c>
      <c r="G26">
        <v>4.9000000000000004</v>
      </c>
      <c r="H26">
        <v>9.3000000000000007</v>
      </c>
      <c r="I26">
        <v>13.8</v>
      </c>
      <c r="J26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B4D2-10A6-42A0-9A60-E3E8C028D6B8}">
  <dimension ref="A1:CW16"/>
  <sheetViews>
    <sheetView topLeftCell="A10" workbookViewId="0">
      <selection activeCell="V35" sqref="V35"/>
    </sheetView>
  </sheetViews>
  <sheetFormatPr defaultRowHeight="14.4" x14ac:dyDescent="0.3"/>
  <cols>
    <col min="1" max="9" width="10.77734375" bestFit="1" customWidth="1"/>
    <col min="10" max="49" width="11.77734375" bestFit="1" customWidth="1"/>
    <col min="50" max="50" width="12.88671875" bestFit="1" customWidth="1"/>
    <col min="51" max="99" width="11.77734375" bestFit="1" customWidth="1"/>
    <col min="100" max="101" width="12.77734375" bestFit="1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1957</v>
      </c>
      <c r="B2" t="s">
        <v>1958</v>
      </c>
      <c r="C2" t="s">
        <v>1959</v>
      </c>
      <c r="D2" t="s">
        <v>1960</v>
      </c>
      <c r="E2" t="s">
        <v>1961</v>
      </c>
      <c r="F2" t="s">
        <v>1962</v>
      </c>
      <c r="G2" t="s">
        <v>1963</v>
      </c>
      <c r="H2" t="s">
        <v>1964</v>
      </c>
      <c r="I2" t="s">
        <v>1965</v>
      </c>
      <c r="J2" t="s">
        <v>1966</v>
      </c>
      <c r="K2" t="s">
        <v>1967</v>
      </c>
      <c r="L2" t="s">
        <v>1968</v>
      </c>
      <c r="M2" t="s">
        <v>1969</v>
      </c>
      <c r="N2" t="s">
        <v>1970</v>
      </c>
      <c r="O2" t="s">
        <v>1971</v>
      </c>
      <c r="P2" t="s">
        <v>1972</v>
      </c>
      <c r="Q2" t="s">
        <v>1973</v>
      </c>
      <c r="R2" t="s">
        <v>1974</v>
      </c>
      <c r="S2" t="s">
        <v>1975</v>
      </c>
      <c r="T2" t="s">
        <v>1976</v>
      </c>
      <c r="U2" t="s">
        <v>1977</v>
      </c>
      <c r="V2" t="s">
        <v>1978</v>
      </c>
      <c r="W2" t="s">
        <v>1979</v>
      </c>
      <c r="X2" t="s">
        <v>1980</v>
      </c>
      <c r="Y2" t="s">
        <v>1981</v>
      </c>
      <c r="Z2" t="s">
        <v>1982</v>
      </c>
      <c r="AA2" t="s">
        <v>1983</v>
      </c>
      <c r="AB2" t="s">
        <v>1984</v>
      </c>
      <c r="AC2" t="s">
        <v>1985</v>
      </c>
      <c r="AD2" t="s">
        <v>1986</v>
      </c>
      <c r="AE2" t="s">
        <v>1987</v>
      </c>
      <c r="AF2" t="s">
        <v>1988</v>
      </c>
      <c r="AG2" t="s">
        <v>1989</v>
      </c>
      <c r="AH2" t="s">
        <v>1990</v>
      </c>
      <c r="AI2" t="s">
        <v>1991</v>
      </c>
      <c r="AJ2" t="s">
        <v>1992</v>
      </c>
      <c r="AK2" t="s">
        <v>1993</v>
      </c>
      <c r="AL2" t="s">
        <v>1994</v>
      </c>
      <c r="AM2" t="s">
        <v>1995</v>
      </c>
      <c r="AN2" t="s">
        <v>1996</v>
      </c>
      <c r="AO2" t="s">
        <v>1997</v>
      </c>
      <c r="AP2" t="s">
        <v>1998</v>
      </c>
      <c r="AQ2" t="s">
        <v>1999</v>
      </c>
      <c r="AR2" t="s">
        <v>2000</v>
      </c>
      <c r="AS2" t="s">
        <v>2001</v>
      </c>
      <c r="AT2" t="s">
        <v>2002</v>
      </c>
      <c r="AU2" t="s">
        <v>2003</v>
      </c>
      <c r="AV2" t="s">
        <v>2004</v>
      </c>
      <c r="AW2" t="s">
        <v>2005</v>
      </c>
      <c r="AX2" t="s">
        <v>2006</v>
      </c>
      <c r="AY2" t="s">
        <v>2007</v>
      </c>
      <c r="AZ2" t="s">
        <v>2008</v>
      </c>
      <c r="BA2" t="s">
        <v>2009</v>
      </c>
      <c r="BB2" t="s">
        <v>2010</v>
      </c>
      <c r="BC2" t="s">
        <v>2011</v>
      </c>
      <c r="BD2" t="s">
        <v>2012</v>
      </c>
      <c r="BE2" t="s">
        <v>2013</v>
      </c>
      <c r="BF2" t="s">
        <v>2014</v>
      </c>
      <c r="BG2" t="s">
        <v>2015</v>
      </c>
      <c r="BH2" t="s">
        <v>2016</v>
      </c>
      <c r="BI2" t="s">
        <v>2017</v>
      </c>
      <c r="BJ2" t="s">
        <v>2018</v>
      </c>
      <c r="BK2" t="s">
        <v>2019</v>
      </c>
      <c r="BL2" t="s">
        <v>2020</v>
      </c>
      <c r="BM2" t="s">
        <v>2021</v>
      </c>
      <c r="BN2" t="s">
        <v>2022</v>
      </c>
      <c r="BO2" t="s">
        <v>2023</v>
      </c>
      <c r="BP2" t="s">
        <v>2024</v>
      </c>
      <c r="BQ2" t="s">
        <v>2025</v>
      </c>
      <c r="BR2" t="s">
        <v>2026</v>
      </c>
      <c r="BS2" t="s">
        <v>2027</v>
      </c>
      <c r="BT2" t="s">
        <v>2028</v>
      </c>
      <c r="BU2" t="s">
        <v>2029</v>
      </c>
      <c r="BV2" t="s">
        <v>2030</v>
      </c>
      <c r="BW2" t="s">
        <v>2031</v>
      </c>
      <c r="BX2" t="s">
        <v>2032</v>
      </c>
      <c r="BY2" t="s">
        <v>2033</v>
      </c>
      <c r="BZ2" t="s">
        <v>2034</v>
      </c>
      <c r="CA2" t="s">
        <v>2035</v>
      </c>
      <c r="CB2" t="s">
        <v>2036</v>
      </c>
      <c r="CC2" t="s">
        <v>2037</v>
      </c>
      <c r="CD2" t="s">
        <v>2038</v>
      </c>
      <c r="CE2" t="s">
        <v>2039</v>
      </c>
      <c r="CF2" t="s">
        <v>2040</v>
      </c>
      <c r="CG2" t="s">
        <v>2041</v>
      </c>
      <c r="CH2" t="s">
        <v>2042</v>
      </c>
      <c r="CI2" t="s">
        <v>2043</v>
      </c>
      <c r="CJ2" t="s">
        <v>2044</v>
      </c>
      <c r="CK2" t="s">
        <v>2045</v>
      </c>
      <c r="CL2" t="s">
        <v>2046</v>
      </c>
      <c r="CM2" t="s">
        <v>2047</v>
      </c>
      <c r="CN2" t="s">
        <v>2048</v>
      </c>
      <c r="CO2" t="s">
        <v>2049</v>
      </c>
      <c r="CP2" t="s">
        <v>2050</v>
      </c>
      <c r="CQ2" t="s">
        <v>2051</v>
      </c>
      <c r="CR2" t="s">
        <v>2340</v>
      </c>
      <c r="CS2" t="s">
        <v>2341</v>
      </c>
      <c r="CT2" t="s">
        <v>2342</v>
      </c>
      <c r="CU2" t="s">
        <v>2343</v>
      </c>
      <c r="CV2" t="s">
        <v>2344</v>
      </c>
      <c r="CW2" t="s">
        <v>2345</v>
      </c>
    </row>
    <row r="3" spans="1:101" x14ac:dyDescent="0.3">
      <c r="A3" t="s">
        <v>2861</v>
      </c>
      <c r="B3" t="s">
        <v>2862</v>
      </c>
      <c r="C3" t="s">
        <v>2863</v>
      </c>
      <c r="D3" t="s">
        <v>2864</v>
      </c>
      <c r="E3" t="s">
        <v>2865</v>
      </c>
      <c r="F3" t="s">
        <v>2866</v>
      </c>
      <c r="G3" t="s">
        <v>2867</v>
      </c>
      <c r="H3" t="s">
        <v>2868</v>
      </c>
      <c r="I3" t="s">
        <v>2869</v>
      </c>
      <c r="J3" t="s">
        <v>2870</v>
      </c>
      <c r="K3" t="s">
        <v>2871</v>
      </c>
      <c r="L3" t="s">
        <v>2872</v>
      </c>
      <c r="M3" t="s">
        <v>2873</v>
      </c>
      <c r="N3" t="s">
        <v>2874</v>
      </c>
      <c r="O3" t="s">
        <v>2875</v>
      </c>
      <c r="P3" t="s">
        <v>2876</v>
      </c>
      <c r="Q3" t="s">
        <v>2877</v>
      </c>
      <c r="R3" t="s">
        <v>2878</v>
      </c>
      <c r="S3" t="s">
        <v>2879</v>
      </c>
      <c r="T3" t="s">
        <v>2880</v>
      </c>
      <c r="U3" t="s">
        <v>2881</v>
      </c>
      <c r="V3" t="s">
        <v>2882</v>
      </c>
      <c r="W3" t="s">
        <v>2883</v>
      </c>
      <c r="X3" t="s">
        <v>2884</v>
      </c>
      <c r="Y3" t="s">
        <v>2885</v>
      </c>
      <c r="Z3" t="s">
        <v>2886</v>
      </c>
      <c r="AA3" t="s">
        <v>2887</v>
      </c>
      <c r="AB3" t="s">
        <v>2888</v>
      </c>
      <c r="AC3" t="s">
        <v>2889</v>
      </c>
      <c r="AD3" t="s">
        <v>2890</v>
      </c>
      <c r="AE3" t="s">
        <v>2891</v>
      </c>
      <c r="AF3" t="s">
        <v>2892</v>
      </c>
      <c r="AG3" t="s">
        <v>2893</v>
      </c>
      <c r="AH3" t="s">
        <v>2894</v>
      </c>
      <c r="AI3" t="s">
        <v>2895</v>
      </c>
      <c r="AJ3" t="s">
        <v>2896</v>
      </c>
      <c r="AK3" t="s">
        <v>2897</v>
      </c>
      <c r="AL3" t="s">
        <v>2898</v>
      </c>
      <c r="AM3" t="s">
        <v>2899</v>
      </c>
      <c r="AN3" t="s">
        <v>2900</v>
      </c>
      <c r="AO3" t="s">
        <v>2901</v>
      </c>
      <c r="AP3" t="s">
        <v>2902</v>
      </c>
      <c r="AQ3" t="s">
        <v>2903</v>
      </c>
      <c r="AR3" t="s">
        <v>2904</v>
      </c>
      <c r="AS3" t="s">
        <v>2905</v>
      </c>
      <c r="AT3" t="s">
        <v>2906</v>
      </c>
      <c r="AU3" t="s">
        <v>2907</v>
      </c>
      <c r="AV3" t="s">
        <v>2908</v>
      </c>
      <c r="AW3" t="s">
        <v>2909</v>
      </c>
      <c r="AX3" t="s">
        <v>2910</v>
      </c>
      <c r="AY3" t="s">
        <v>1171</v>
      </c>
      <c r="AZ3" t="s">
        <v>2911</v>
      </c>
      <c r="BA3" t="s">
        <v>2912</v>
      </c>
      <c r="BB3" t="s">
        <v>2913</v>
      </c>
      <c r="BC3" t="s">
        <v>2914</v>
      </c>
      <c r="BD3" t="s">
        <v>2915</v>
      </c>
      <c r="BE3" t="s">
        <v>2916</v>
      </c>
      <c r="BF3" t="s">
        <v>2917</v>
      </c>
      <c r="BG3" t="s">
        <v>2918</v>
      </c>
      <c r="BH3" t="s">
        <v>2919</v>
      </c>
      <c r="BI3" t="s">
        <v>2920</v>
      </c>
      <c r="BJ3" t="s">
        <v>2921</v>
      </c>
      <c r="BK3" t="s">
        <v>2922</v>
      </c>
      <c r="BL3" t="s">
        <v>2923</v>
      </c>
      <c r="BM3" t="s">
        <v>2924</v>
      </c>
      <c r="BN3" t="s">
        <v>2925</v>
      </c>
      <c r="BO3" t="s">
        <v>2926</v>
      </c>
      <c r="BP3" t="s">
        <v>2927</v>
      </c>
      <c r="BQ3" t="s">
        <v>2928</v>
      </c>
      <c r="BR3" t="s">
        <v>2929</v>
      </c>
      <c r="BS3" t="s">
        <v>2930</v>
      </c>
      <c r="BT3" t="s">
        <v>2931</v>
      </c>
      <c r="BU3" t="s">
        <v>2932</v>
      </c>
      <c r="BV3" t="s">
        <v>2933</v>
      </c>
      <c r="BW3" t="s">
        <v>2934</v>
      </c>
      <c r="BX3" t="s">
        <v>2935</v>
      </c>
      <c r="BY3" t="s">
        <v>2936</v>
      </c>
      <c r="BZ3" t="s">
        <v>2937</v>
      </c>
      <c r="CA3" t="s">
        <v>2938</v>
      </c>
      <c r="CB3" t="s">
        <v>2939</v>
      </c>
      <c r="CC3" t="s">
        <v>2940</v>
      </c>
      <c r="CD3" t="s">
        <v>2941</v>
      </c>
      <c r="CE3" t="s">
        <v>2942</v>
      </c>
      <c r="CF3" t="s">
        <v>2943</v>
      </c>
      <c r="CG3" t="s">
        <v>2944</v>
      </c>
      <c r="CH3" t="s">
        <v>2945</v>
      </c>
      <c r="CI3" t="s">
        <v>2946</v>
      </c>
      <c r="CJ3" t="s">
        <v>2947</v>
      </c>
      <c r="CK3" t="s">
        <v>2948</v>
      </c>
      <c r="CL3" t="s">
        <v>2949</v>
      </c>
      <c r="CM3" t="s">
        <v>2950</v>
      </c>
      <c r="CN3" t="s">
        <v>2951</v>
      </c>
      <c r="CO3" t="s">
        <v>2952</v>
      </c>
      <c r="CP3" t="s">
        <v>2953</v>
      </c>
      <c r="CQ3" t="s">
        <v>2954</v>
      </c>
      <c r="CR3" t="s">
        <v>2955</v>
      </c>
      <c r="CS3" t="s">
        <v>2956</v>
      </c>
      <c r="CT3" t="s">
        <v>2957</v>
      </c>
      <c r="CU3" t="s">
        <v>2958</v>
      </c>
      <c r="CV3" t="s">
        <v>2959</v>
      </c>
      <c r="CW3" t="s">
        <v>2960</v>
      </c>
    </row>
    <row r="4" spans="1:101" x14ac:dyDescent="0.3">
      <c r="A4" t="s">
        <v>2961</v>
      </c>
      <c r="B4" t="s">
        <v>2962</v>
      </c>
      <c r="C4" t="s">
        <v>2963</v>
      </c>
      <c r="D4" t="s">
        <v>2964</v>
      </c>
      <c r="E4" t="s">
        <v>2965</v>
      </c>
      <c r="F4" t="s">
        <v>2966</v>
      </c>
      <c r="G4" t="s">
        <v>2967</v>
      </c>
      <c r="H4" t="s">
        <v>2968</v>
      </c>
      <c r="I4" t="s">
        <v>2969</v>
      </c>
      <c r="J4" t="s">
        <v>2970</v>
      </c>
      <c r="K4" t="s">
        <v>2971</v>
      </c>
      <c r="L4" t="s">
        <v>2972</v>
      </c>
      <c r="M4" t="s">
        <v>2973</v>
      </c>
      <c r="N4" t="s">
        <v>2974</v>
      </c>
      <c r="O4" t="s">
        <v>2975</v>
      </c>
      <c r="P4" t="s">
        <v>2976</v>
      </c>
      <c r="Q4" t="s">
        <v>2977</v>
      </c>
      <c r="R4" t="s">
        <v>2978</v>
      </c>
      <c r="S4" t="s">
        <v>2979</v>
      </c>
      <c r="T4" t="s">
        <v>2980</v>
      </c>
      <c r="U4" t="s">
        <v>2981</v>
      </c>
      <c r="V4" t="s">
        <v>2982</v>
      </c>
      <c r="W4" t="s">
        <v>2983</v>
      </c>
      <c r="X4" t="s">
        <v>2984</v>
      </c>
      <c r="Y4" t="s">
        <v>2985</v>
      </c>
      <c r="Z4" t="s">
        <v>2986</v>
      </c>
      <c r="AA4" t="s">
        <v>2987</v>
      </c>
      <c r="AB4" t="s">
        <v>2988</v>
      </c>
      <c r="AC4" t="s">
        <v>2989</v>
      </c>
      <c r="AD4" t="s">
        <v>2990</v>
      </c>
      <c r="AE4" t="s">
        <v>2991</v>
      </c>
      <c r="AF4" t="s">
        <v>2992</v>
      </c>
      <c r="AG4" t="s">
        <v>2993</v>
      </c>
      <c r="AH4" t="s">
        <v>2994</v>
      </c>
      <c r="AI4" t="s">
        <v>2995</v>
      </c>
      <c r="AJ4" t="s">
        <v>2996</v>
      </c>
      <c r="AK4" t="s">
        <v>2997</v>
      </c>
      <c r="AL4" t="s">
        <v>2998</v>
      </c>
      <c r="AM4" t="s">
        <v>2999</v>
      </c>
      <c r="AN4" t="s">
        <v>3000</v>
      </c>
      <c r="AO4" t="s">
        <v>3001</v>
      </c>
      <c r="AP4" t="s">
        <v>3002</v>
      </c>
      <c r="AQ4" t="s">
        <v>3003</v>
      </c>
      <c r="AR4" t="s">
        <v>3004</v>
      </c>
      <c r="AS4" t="s">
        <v>3005</v>
      </c>
      <c r="AT4" t="s">
        <v>3006</v>
      </c>
      <c r="AU4" t="s">
        <v>3007</v>
      </c>
      <c r="AV4" t="s">
        <v>3008</v>
      </c>
      <c r="AW4" t="s">
        <v>3009</v>
      </c>
      <c r="AX4" t="s">
        <v>3010</v>
      </c>
      <c r="AY4" t="s">
        <v>1267</v>
      </c>
      <c r="AZ4" t="s">
        <v>3011</v>
      </c>
      <c r="BA4" t="s">
        <v>3012</v>
      </c>
      <c r="BB4" t="s">
        <v>3013</v>
      </c>
      <c r="BC4" t="s">
        <v>3014</v>
      </c>
      <c r="BD4" t="s">
        <v>3015</v>
      </c>
      <c r="BE4" t="s">
        <v>3016</v>
      </c>
      <c r="BF4" t="s">
        <v>3017</v>
      </c>
      <c r="BG4" t="s">
        <v>3018</v>
      </c>
      <c r="BH4" t="s">
        <v>3019</v>
      </c>
      <c r="BI4" t="s">
        <v>3020</v>
      </c>
      <c r="BJ4" t="s">
        <v>3021</v>
      </c>
      <c r="BK4" t="s">
        <v>3022</v>
      </c>
      <c r="BL4" t="s">
        <v>3023</v>
      </c>
      <c r="BM4" t="s">
        <v>3024</v>
      </c>
      <c r="BN4" t="s">
        <v>3025</v>
      </c>
      <c r="BO4" t="s">
        <v>3026</v>
      </c>
      <c r="BP4" t="s">
        <v>3027</v>
      </c>
      <c r="BQ4" t="s">
        <v>3028</v>
      </c>
      <c r="BR4" t="s">
        <v>3029</v>
      </c>
      <c r="BS4" t="s">
        <v>3030</v>
      </c>
      <c r="BT4" t="s">
        <v>3031</v>
      </c>
      <c r="BU4" t="s">
        <v>3032</v>
      </c>
      <c r="BV4" t="s">
        <v>3033</v>
      </c>
      <c r="BW4" t="s">
        <v>3034</v>
      </c>
      <c r="BX4" t="s">
        <v>3035</v>
      </c>
      <c r="BY4" t="s">
        <v>3036</v>
      </c>
      <c r="BZ4" t="s">
        <v>3037</v>
      </c>
      <c r="CA4" t="s">
        <v>3038</v>
      </c>
      <c r="CB4" t="s">
        <v>3039</v>
      </c>
      <c r="CC4" t="s">
        <v>3040</v>
      </c>
      <c r="CD4" t="s">
        <v>3041</v>
      </c>
      <c r="CE4" t="s">
        <v>3042</v>
      </c>
      <c r="CF4" t="s">
        <v>3043</v>
      </c>
      <c r="CG4" t="s">
        <v>3044</v>
      </c>
      <c r="CH4" t="s">
        <v>3045</v>
      </c>
      <c r="CI4" t="s">
        <v>3046</v>
      </c>
      <c r="CJ4" t="s">
        <v>3047</v>
      </c>
      <c r="CK4" t="s">
        <v>3048</v>
      </c>
      <c r="CL4" t="s">
        <v>3049</v>
      </c>
      <c r="CM4" t="s">
        <v>3050</v>
      </c>
      <c r="CN4" t="s">
        <v>3051</v>
      </c>
      <c r="CO4" t="s">
        <v>3052</v>
      </c>
      <c r="CP4" t="s">
        <v>3053</v>
      </c>
      <c r="CQ4" t="s">
        <v>3054</v>
      </c>
      <c r="CR4" t="s">
        <v>3055</v>
      </c>
      <c r="CS4" t="s">
        <v>3056</v>
      </c>
      <c r="CT4" t="s">
        <v>3057</v>
      </c>
      <c r="CU4" t="s">
        <v>3058</v>
      </c>
      <c r="CV4" t="s">
        <v>3059</v>
      </c>
      <c r="CW4" t="s">
        <v>3060</v>
      </c>
    </row>
    <row r="5" spans="1:101" x14ac:dyDescent="0.3">
      <c r="A5" t="s">
        <v>3061</v>
      </c>
      <c r="B5" t="s">
        <v>3062</v>
      </c>
      <c r="C5" t="s">
        <v>3063</v>
      </c>
      <c r="D5" t="s">
        <v>3064</v>
      </c>
      <c r="E5" t="s">
        <v>3065</v>
      </c>
      <c r="F5" t="s">
        <v>3066</v>
      </c>
      <c r="G5" t="s">
        <v>3067</v>
      </c>
      <c r="H5" t="s">
        <v>3068</v>
      </c>
      <c r="I5" t="s">
        <v>3069</v>
      </c>
      <c r="J5" t="s">
        <v>3070</v>
      </c>
      <c r="K5" t="s">
        <v>3071</v>
      </c>
      <c r="L5" t="s">
        <v>3072</v>
      </c>
      <c r="M5" t="s">
        <v>3073</v>
      </c>
      <c r="N5" t="s">
        <v>3074</v>
      </c>
      <c r="O5" t="s">
        <v>3075</v>
      </c>
      <c r="P5" t="s">
        <v>3076</v>
      </c>
      <c r="Q5" t="s">
        <v>3077</v>
      </c>
      <c r="R5" t="s">
        <v>3078</v>
      </c>
      <c r="S5" t="s">
        <v>3079</v>
      </c>
      <c r="T5" t="s">
        <v>3080</v>
      </c>
      <c r="U5" t="s">
        <v>3081</v>
      </c>
      <c r="V5" t="s">
        <v>3082</v>
      </c>
      <c r="W5" t="s">
        <v>3083</v>
      </c>
      <c r="X5" t="s">
        <v>3084</v>
      </c>
      <c r="Y5" t="s">
        <v>3085</v>
      </c>
      <c r="Z5" t="s">
        <v>3086</v>
      </c>
      <c r="AA5" t="s">
        <v>3087</v>
      </c>
      <c r="AB5" t="s">
        <v>3088</v>
      </c>
      <c r="AC5" t="s">
        <v>3089</v>
      </c>
      <c r="AD5" t="s">
        <v>3090</v>
      </c>
      <c r="AE5" t="s">
        <v>3091</v>
      </c>
      <c r="AF5" t="s">
        <v>3092</v>
      </c>
      <c r="AG5" t="s">
        <v>3093</v>
      </c>
      <c r="AH5" t="s">
        <v>3094</v>
      </c>
      <c r="AI5" t="s">
        <v>3095</v>
      </c>
      <c r="AJ5" t="s">
        <v>3096</v>
      </c>
      <c r="AK5" t="s">
        <v>3097</v>
      </c>
      <c r="AL5" t="s">
        <v>3098</v>
      </c>
      <c r="AM5" t="s">
        <v>3099</v>
      </c>
      <c r="AN5" t="s">
        <v>3100</v>
      </c>
      <c r="AO5" t="s">
        <v>3101</v>
      </c>
      <c r="AP5" t="s">
        <v>3102</v>
      </c>
      <c r="AQ5" t="s">
        <v>3103</v>
      </c>
      <c r="AR5" t="s">
        <v>3017</v>
      </c>
      <c r="AS5" t="s">
        <v>3016</v>
      </c>
      <c r="AT5" t="s">
        <v>3104</v>
      </c>
      <c r="AU5" t="s">
        <v>3105</v>
      </c>
      <c r="AV5" t="s">
        <v>3106</v>
      </c>
      <c r="AW5" t="s">
        <v>3107</v>
      </c>
      <c r="AX5" t="s">
        <v>3108</v>
      </c>
      <c r="AY5" t="s">
        <v>2196</v>
      </c>
      <c r="AZ5" t="s">
        <v>3109</v>
      </c>
      <c r="BA5" t="s">
        <v>3110</v>
      </c>
      <c r="BB5" t="s">
        <v>3111</v>
      </c>
      <c r="BC5" t="s">
        <v>3112</v>
      </c>
      <c r="BD5" t="s">
        <v>3113</v>
      </c>
      <c r="BE5" t="s">
        <v>3114</v>
      </c>
      <c r="BF5" t="s">
        <v>3115</v>
      </c>
      <c r="BG5" t="s">
        <v>3116</v>
      </c>
      <c r="BH5" t="s">
        <v>3002</v>
      </c>
      <c r="BI5" t="s">
        <v>3117</v>
      </c>
      <c r="BJ5" t="s">
        <v>3118</v>
      </c>
      <c r="BK5" t="s">
        <v>2999</v>
      </c>
      <c r="BL5" t="s">
        <v>3119</v>
      </c>
      <c r="BM5" t="s">
        <v>3120</v>
      </c>
      <c r="BN5" t="s">
        <v>3121</v>
      </c>
      <c r="BO5" t="s">
        <v>2995</v>
      </c>
      <c r="BP5" t="s">
        <v>2994</v>
      </c>
      <c r="BQ5" t="s">
        <v>2993</v>
      </c>
      <c r="BR5" t="s">
        <v>2992</v>
      </c>
      <c r="BS5" t="s">
        <v>3122</v>
      </c>
      <c r="BT5" t="s">
        <v>2990</v>
      </c>
      <c r="BU5" t="s">
        <v>3123</v>
      </c>
      <c r="BV5" t="s">
        <v>2988</v>
      </c>
      <c r="BW5" t="s">
        <v>2987</v>
      </c>
      <c r="BX5" t="s">
        <v>2986</v>
      </c>
      <c r="BY5" t="s">
        <v>2985</v>
      </c>
      <c r="BZ5" t="s">
        <v>2984</v>
      </c>
      <c r="CA5" t="s">
        <v>2983</v>
      </c>
      <c r="CB5" t="s">
        <v>2982</v>
      </c>
      <c r="CC5" t="s">
        <v>2981</v>
      </c>
      <c r="CD5" t="s">
        <v>2980</v>
      </c>
      <c r="CE5" t="s">
        <v>2979</v>
      </c>
      <c r="CF5" t="s">
        <v>2978</v>
      </c>
      <c r="CG5" t="s">
        <v>2977</v>
      </c>
      <c r="CH5" t="s">
        <v>2976</v>
      </c>
      <c r="CI5" t="s">
        <v>2975</v>
      </c>
      <c r="CJ5" t="s">
        <v>2974</v>
      </c>
      <c r="CK5" t="s">
        <v>2973</v>
      </c>
      <c r="CL5" t="s">
        <v>2972</v>
      </c>
      <c r="CM5" t="s">
        <v>2971</v>
      </c>
      <c r="CN5" t="s">
        <v>2970</v>
      </c>
      <c r="CO5" t="s">
        <v>2969</v>
      </c>
      <c r="CP5" t="s">
        <v>3124</v>
      </c>
      <c r="CQ5" t="s">
        <v>2967</v>
      </c>
      <c r="CR5" t="s">
        <v>3125</v>
      </c>
      <c r="CS5" t="s">
        <v>2965</v>
      </c>
      <c r="CT5" t="s">
        <v>3126</v>
      </c>
      <c r="CU5" t="s">
        <v>3127</v>
      </c>
      <c r="CV5" t="s">
        <v>3128</v>
      </c>
      <c r="CW5" t="s">
        <v>2961</v>
      </c>
    </row>
    <row r="6" spans="1:101" x14ac:dyDescent="0.3">
      <c r="A6" t="s">
        <v>2960</v>
      </c>
      <c r="B6" t="s">
        <v>2959</v>
      </c>
      <c r="C6" t="s">
        <v>2958</v>
      </c>
      <c r="D6" t="s">
        <v>3129</v>
      </c>
      <c r="E6" t="s">
        <v>2956</v>
      </c>
      <c r="F6" t="s">
        <v>2955</v>
      </c>
      <c r="G6" t="s">
        <v>2954</v>
      </c>
      <c r="H6" t="s">
        <v>2953</v>
      </c>
      <c r="I6" t="s">
        <v>2952</v>
      </c>
      <c r="J6" t="s">
        <v>2951</v>
      </c>
      <c r="K6" t="s">
        <v>2950</v>
      </c>
      <c r="L6" t="s">
        <v>2949</v>
      </c>
      <c r="M6" t="s">
        <v>2948</v>
      </c>
      <c r="N6" t="s">
        <v>2947</v>
      </c>
      <c r="O6" t="s">
        <v>2946</v>
      </c>
      <c r="P6" t="s">
        <v>2945</v>
      </c>
      <c r="Q6" t="s">
        <v>2944</v>
      </c>
      <c r="R6" t="s">
        <v>2943</v>
      </c>
      <c r="S6" t="s">
        <v>2942</v>
      </c>
      <c r="T6" t="s">
        <v>2941</v>
      </c>
      <c r="U6" t="s">
        <v>2940</v>
      </c>
      <c r="V6" t="s">
        <v>2939</v>
      </c>
      <c r="W6" t="s">
        <v>2938</v>
      </c>
      <c r="X6" t="s">
        <v>2937</v>
      </c>
      <c r="Y6" t="s">
        <v>2936</v>
      </c>
      <c r="Z6" t="s">
        <v>2935</v>
      </c>
      <c r="AA6" t="s">
        <v>2934</v>
      </c>
      <c r="AB6" t="s">
        <v>2933</v>
      </c>
      <c r="AC6" t="s">
        <v>2932</v>
      </c>
      <c r="AD6" t="s">
        <v>2931</v>
      </c>
      <c r="AE6" t="s">
        <v>2930</v>
      </c>
      <c r="AF6" t="s">
        <v>2929</v>
      </c>
      <c r="AG6" t="s">
        <v>2928</v>
      </c>
      <c r="AH6" t="s">
        <v>2927</v>
      </c>
      <c r="AI6" t="s">
        <v>2926</v>
      </c>
      <c r="AJ6" t="s">
        <v>2925</v>
      </c>
      <c r="AK6" t="s">
        <v>2924</v>
      </c>
      <c r="AL6" t="s">
        <v>2923</v>
      </c>
      <c r="AM6" t="s">
        <v>2922</v>
      </c>
      <c r="AN6" t="s">
        <v>3130</v>
      </c>
      <c r="AO6" t="s">
        <v>2920</v>
      </c>
      <c r="AP6" t="s">
        <v>2919</v>
      </c>
      <c r="AQ6" t="s">
        <v>2918</v>
      </c>
      <c r="AR6" t="s">
        <v>2917</v>
      </c>
      <c r="AS6" t="s">
        <v>2916</v>
      </c>
      <c r="AT6" t="s">
        <v>2915</v>
      </c>
      <c r="AU6" t="s">
        <v>2914</v>
      </c>
      <c r="AV6" t="s">
        <v>2913</v>
      </c>
      <c r="AW6" t="s">
        <v>2912</v>
      </c>
      <c r="AX6" t="s">
        <v>3131</v>
      </c>
      <c r="AY6" t="s">
        <v>1171</v>
      </c>
      <c r="AZ6" t="s">
        <v>2910</v>
      </c>
      <c r="BA6" t="s">
        <v>2909</v>
      </c>
      <c r="BB6" t="s">
        <v>2908</v>
      </c>
      <c r="BC6" t="s">
        <v>2907</v>
      </c>
      <c r="BD6" t="s">
        <v>2906</v>
      </c>
      <c r="BE6" t="s">
        <v>2905</v>
      </c>
      <c r="BF6" t="s">
        <v>3132</v>
      </c>
      <c r="BG6" t="s">
        <v>2903</v>
      </c>
      <c r="BH6" t="s">
        <v>3133</v>
      </c>
      <c r="BI6" t="s">
        <v>2901</v>
      </c>
      <c r="BJ6" t="s">
        <v>2900</v>
      </c>
      <c r="BK6" t="s">
        <v>2899</v>
      </c>
      <c r="BL6" t="s">
        <v>2898</v>
      </c>
      <c r="BM6" t="s">
        <v>3134</v>
      </c>
      <c r="BN6" t="s">
        <v>2896</v>
      </c>
      <c r="BO6" t="s">
        <v>2895</v>
      </c>
      <c r="BP6" t="s">
        <v>2894</v>
      </c>
      <c r="BQ6" t="s">
        <v>2893</v>
      </c>
      <c r="BR6" t="s">
        <v>3135</v>
      </c>
      <c r="BS6" t="s">
        <v>2891</v>
      </c>
      <c r="BT6" t="s">
        <v>2890</v>
      </c>
      <c r="BU6" t="s">
        <v>2889</v>
      </c>
      <c r="BV6" t="s">
        <v>2888</v>
      </c>
      <c r="BW6" t="s">
        <v>2887</v>
      </c>
      <c r="BX6" t="s">
        <v>2886</v>
      </c>
      <c r="BY6" t="s">
        <v>2885</v>
      </c>
      <c r="BZ6" t="s">
        <v>2884</v>
      </c>
      <c r="CA6" t="s">
        <v>2883</v>
      </c>
      <c r="CB6" t="s">
        <v>2882</v>
      </c>
      <c r="CC6" t="s">
        <v>2881</v>
      </c>
      <c r="CD6" t="s">
        <v>2880</v>
      </c>
      <c r="CE6" t="s">
        <v>2879</v>
      </c>
      <c r="CF6" t="s">
        <v>2878</v>
      </c>
      <c r="CG6" t="s">
        <v>2877</v>
      </c>
      <c r="CH6" t="s">
        <v>2876</v>
      </c>
      <c r="CI6" t="s">
        <v>2875</v>
      </c>
      <c r="CJ6" t="s">
        <v>2874</v>
      </c>
      <c r="CK6" t="s">
        <v>2873</v>
      </c>
      <c r="CL6" t="s">
        <v>3136</v>
      </c>
      <c r="CM6" t="s">
        <v>2871</v>
      </c>
      <c r="CN6" t="s">
        <v>2870</v>
      </c>
      <c r="CO6" t="s">
        <v>2869</v>
      </c>
      <c r="CP6" t="s">
        <v>2868</v>
      </c>
      <c r="CQ6" t="s">
        <v>2867</v>
      </c>
      <c r="CR6" t="s">
        <v>2866</v>
      </c>
      <c r="CS6" t="s">
        <v>2865</v>
      </c>
      <c r="CT6" t="s">
        <v>2864</v>
      </c>
      <c r="CU6" t="s">
        <v>2863</v>
      </c>
      <c r="CV6" t="s">
        <v>3137</v>
      </c>
      <c r="CW6" t="s">
        <v>2861</v>
      </c>
    </row>
    <row r="7" spans="1:101" x14ac:dyDescent="0.3">
      <c r="A7" t="s">
        <v>3138</v>
      </c>
      <c r="B7" t="s">
        <v>3139</v>
      </c>
      <c r="C7" t="s">
        <v>3140</v>
      </c>
      <c r="D7" t="s">
        <v>3141</v>
      </c>
      <c r="E7" t="s">
        <v>3142</v>
      </c>
      <c r="F7" t="s">
        <v>3143</v>
      </c>
      <c r="G7" t="s">
        <v>3144</v>
      </c>
      <c r="H7" t="s">
        <v>3145</v>
      </c>
      <c r="I7" t="s">
        <v>3146</v>
      </c>
      <c r="J7" t="s">
        <v>3147</v>
      </c>
      <c r="K7" t="s">
        <v>3148</v>
      </c>
      <c r="L7" t="s">
        <v>3149</v>
      </c>
      <c r="M7" t="s">
        <v>3150</v>
      </c>
      <c r="N7" t="s">
        <v>3151</v>
      </c>
      <c r="O7" t="s">
        <v>3152</v>
      </c>
      <c r="P7" t="s">
        <v>3153</v>
      </c>
      <c r="Q7" t="s">
        <v>3154</v>
      </c>
      <c r="R7" t="s">
        <v>3155</v>
      </c>
      <c r="S7" t="s">
        <v>3156</v>
      </c>
      <c r="T7" t="s">
        <v>3157</v>
      </c>
      <c r="U7" t="s">
        <v>3158</v>
      </c>
      <c r="V7" t="s">
        <v>3159</v>
      </c>
      <c r="W7" t="s">
        <v>3160</v>
      </c>
      <c r="X7" t="s">
        <v>3161</v>
      </c>
      <c r="Y7" t="s">
        <v>3162</v>
      </c>
      <c r="Z7" t="s">
        <v>3163</v>
      </c>
      <c r="AA7" t="s">
        <v>3164</v>
      </c>
      <c r="AB7" t="s">
        <v>3165</v>
      </c>
      <c r="AC7" t="s">
        <v>3166</v>
      </c>
      <c r="AD7" t="s">
        <v>3167</v>
      </c>
      <c r="AE7" t="s">
        <v>3168</v>
      </c>
      <c r="AF7" t="s">
        <v>3169</v>
      </c>
      <c r="AG7" t="s">
        <v>3170</v>
      </c>
      <c r="AH7" t="s">
        <v>3171</v>
      </c>
      <c r="AI7" t="s">
        <v>3172</v>
      </c>
      <c r="AJ7" t="s">
        <v>3173</v>
      </c>
      <c r="AK7" t="s">
        <v>3174</v>
      </c>
      <c r="AL7" t="s">
        <v>3175</v>
      </c>
      <c r="AM7" t="s">
        <v>3176</v>
      </c>
      <c r="AN7" t="s">
        <v>3177</v>
      </c>
      <c r="AO7" t="s">
        <v>3178</v>
      </c>
      <c r="AP7" t="s">
        <v>3179</v>
      </c>
      <c r="AQ7" t="s">
        <v>3180</v>
      </c>
      <c r="AR7" t="s">
        <v>3181</v>
      </c>
      <c r="AS7" t="s">
        <v>3182</v>
      </c>
      <c r="AT7" t="s">
        <v>3183</v>
      </c>
      <c r="AU7" t="s">
        <v>3184</v>
      </c>
      <c r="AV7" t="s">
        <v>3185</v>
      </c>
      <c r="AW7" t="s">
        <v>3186</v>
      </c>
      <c r="AX7" t="s">
        <v>3187</v>
      </c>
      <c r="AY7" t="s">
        <v>3188</v>
      </c>
      <c r="AZ7" t="s">
        <v>3189</v>
      </c>
      <c r="BA7" t="s">
        <v>3190</v>
      </c>
      <c r="BB7" t="s">
        <v>3191</v>
      </c>
      <c r="BC7" t="s">
        <v>3192</v>
      </c>
      <c r="BD7" t="s">
        <v>3193</v>
      </c>
      <c r="BE7" t="s">
        <v>3194</v>
      </c>
      <c r="BF7" t="s">
        <v>3195</v>
      </c>
      <c r="BG7" t="s">
        <v>3196</v>
      </c>
      <c r="BH7" t="s">
        <v>3197</v>
      </c>
      <c r="BI7" t="s">
        <v>3198</v>
      </c>
      <c r="BJ7" t="s">
        <v>3199</v>
      </c>
      <c r="BK7" t="s">
        <v>3200</v>
      </c>
      <c r="BL7" t="s">
        <v>3201</v>
      </c>
      <c r="BM7" t="s">
        <v>3202</v>
      </c>
      <c r="BN7" t="s">
        <v>3203</v>
      </c>
      <c r="BO7" t="s">
        <v>3204</v>
      </c>
      <c r="BP7" t="s">
        <v>3205</v>
      </c>
      <c r="BQ7" t="s">
        <v>3206</v>
      </c>
      <c r="BR7" t="s">
        <v>3207</v>
      </c>
      <c r="BS7" t="s">
        <v>3208</v>
      </c>
      <c r="BT7" t="s">
        <v>3209</v>
      </c>
      <c r="BU7" t="s">
        <v>3210</v>
      </c>
      <c r="BV7" t="s">
        <v>3211</v>
      </c>
      <c r="BW7" t="s">
        <v>3212</v>
      </c>
      <c r="BX7" t="s">
        <v>3213</v>
      </c>
      <c r="BY7" t="s">
        <v>3214</v>
      </c>
      <c r="BZ7" t="s">
        <v>3215</v>
      </c>
      <c r="CA7" t="s">
        <v>3216</v>
      </c>
      <c r="CB7" t="s">
        <v>3217</v>
      </c>
      <c r="CC7" t="s">
        <v>3218</v>
      </c>
      <c r="CD7" t="s">
        <v>3219</v>
      </c>
      <c r="CE7" t="s">
        <v>3220</v>
      </c>
      <c r="CF7" t="s">
        <v>3221</v>
      </c>
      <c r="CG7" t="s">
        <v>3222</v>
      </c>
      <c r="CH7" t="s">
        <v>3223</v>
      </c>
      <c r="CI7" t="s">
        <v>3224</v>
      </c>
      <c r="CJ7" t="s">
        <v>3225</v>
      </c>
      <c r="CK7" t="s">
        <v>3226</v>
      </c>
      <c r="CL7" t="s">
        <v>3227</v>
      </c>
      <c r="CM7" t="s">
        <v>3228</v>
      </c>
      <c r="CN7" t="s">
        <v>3229</v>
      </c>
      <c r="CO7" t="s">
        <v>3230</v>
      </c>
      <c r="CP7" t="s">
        <v>3231</v>
      </c>
      <c r="CQ7" t="s">
        <v>3232</v>
      </c>
      <c r="CR7" t="s">
        <v>3233</v>
      </c>
      <c r="CS7" t="s">
        <v>3234</v>
      </c>
      <c r="CT7" t="s">
        <v>3235</v>
      </c>
      <c r="CU7" t="s">
        <v>3236</v>
      </c>
      <c r="CV7" t="s">
        <v>3237</v>
      </c>
      <c r="CW7" t="s">
        <v>3238</v>
      </c>
    </row>
    <row r="8" spans="1:101" x14ac:dyDescent="0.3">
      <c r="A8">
        <f>A7-360</f>
        <v>-38.839699999999993</v>
      </c>
      <c r="B8">
        <f t="shared" ref="B8:AY8" si="0">B7-360</f>
        <v>-38.138599999999997</v>
      </c>
      <c r="C8">
        <f t="shared" si="0"/>
        <v>-37.354399999999998</v>
      </c>
      <c r="D8">
        <f t="shared" si="0"/>
        <v>-36.573599999999999</v>
      </c>
      <c r="E8">
        <f t="shared" si="0"/>
        <v>-35.765100000000018</v>
      </c>
      <c r="F8">
        <f t="shared" si="0"/>
        <v>-34.998800000000017</v>
      </c>
      <c r="G8">
        <f t="shared" si="0"/>
        <v>-34.210699999999974</v>
      </c>
      <c r="H8">
        <f t="shared" si="0"/>
        <v>-33.432900000000018</v>
      </c>
      <c r="I8">
        <f t="shared" si="0"/>
        <v>-32.629500000000007</v>
      </c>
      <c r="J8">
        <f t="shared" si="0"/>
        <v>-31.851600000000019</v>
      </c>
      <c r="K8">
        <f t="shared" si="0"/>
        <v>-31.054500000000019</v>
      </c>
      <c r="L8">
        <f t="shared" si="0"/>
        <v>-30.266599999999983</v>
      </c>
      <c r="M8">
        <f t="shared" si="0"/>
        <v>-29.490400000000022</v>
      </c>
      <c r="N8">
        <f t="shared" si="0"/>
        <v>-28.692499999999995</v>
      </c>
      <c r="O8">
        <f t="shared" si="0"/>
        <v>-27.903599999999983</v>
      </c>
      <c r="P8">
        <f t="shared" si="0"/>
        <v>-27.116499999999974</v>
      </c>
      <c r="Q8">
        <f t="shared" si="0"/>
        <v>-26.335699999999974</v>
      </c>
      <c r="R8">
        <f t="shared" si="0"/>
        <v>-25.547799999999995</v>
      </c>
      <c r="S8">
        <f t="shared" si="0"/>
        <v>-24.750099999999975</v>
      </c>
      <c r="T8">
        <f t="shared" si="0"/>
        <v>-23.953599999999994</v>
      </c>
      <c r="U8">
        <f t="shared" si="0"/>
        <v>-23.166200000000003</v>
      </c>
      <c r="V8">
        <f t="shared" si="0"/>
        <v>-22.382999999999981</v>
      </c>
      <c r="W8">
        <f t="shared" si="0"/>
        <v>-21.605099999999993</v>
      </c>
      <c r="X8">
        <f t="shared" si="0"/>
        <v>-20.826000000000022</v>
      </c>
      <c r="Y8">
        <f t="shared" si="0"/>
        <v>-20.050400000000025</v>
      </c>
      <c r="Z8">
        <f t="shared" si="0"/>
        <v>-19.276200000000017</v>
      </c>
      <c r="AA8">
        <f t="shared" si="0"/>
        <v>-18.496500000000026</v>
      </c>
      <c r="AB8">
        <f t="shared" si="0"/>
        <v>-17.720700000000022</v>
      </c>
      <c r="AC8">
        <f t="shared" si="0"/>
        <v>-16.952099999999973</v>
      </c>
      <c r="AD8">
        <f t="shared" si="0"/>
        <v>-16.179899999999975</v>
      </c>
      <c r="AE8">
        <f t="shared" si="0"/>
        <v>-15.407300000000021</v>
      </c>
      <c r="AF8">
        <f t="shared" si="0"/>
        <v>-14.637099999999975</v>
      </c>
      <c r="AG8">
        <f t="shared" si="0"/>
        <v>-13.867500000000007</v>
      </c>
      <c r="AH8">
        <f t="shared" si="0"/>
        <v>-13.102800000000002</v>
      </c>
      <c r="AI8">
        <f t="shared" si="0"/>
        <v>-12.331799999999987</v>
      </c>
      <c r="AJ8">
        <f t="shared" si="0"/>
        <v>-11.563499999999976</v>
      </c>
      <c r="AK8">
        <f t="shared" si="0"/>
        <v>-10.795000000000016</v>
      </c>
      <c r="AL8">
        <f t="shared" si="0"/>
        <v>-10.029200000000003</v>
      </c>
      <c r="AM8">
        <f t="shared" si="0"/>
        <v>-9.259900000000016</v>
      </c>
      <c r="AN8">
        <f t="shared" si="0"/>
        <v>-8.490099999999984</v>
      </c>
      <c r="AO8">
        <f t="shared" si="0"/>
        <v>-7.7230000000000132</v>
      </c>
      <c r="AP8">
        <f t="shared" si="0"/>
        <v>-6.9581000000000017</v>
      </c>
      <c r="AQ8">
        <f t="shared" si="0"/>
        <v>-6.2010999999999967</v>
      </c>
      <c r="AR8">
        <f t="shared" si="0"/>
        <v>-5.4465000000000146</v>
      </c>
      <c r="AS8">
        <f t="shared" si="0"/>
        <v>-4.6872999999999934</v>
      </c>
      <c r="AT8">
        <f t="shared" si="0"/>
        <v>-3.9309999999999832</v>
      </c>
      <c r="AU8">
        <f t="shared" si="0"/>
        <v>-3.1725999999999885</v>
      </c>
      <c r="AV8">
        <f t="shared" si="0"/>
        <v>-2.4137999999999806</v>
      </c>
      <c r="AW8">
        <f t="shared" si="0"/>
        <v>-1.6541000000000281</v>
      </c>
      <c r="AX8">
        <f t="shared" si="0"/>
        <v>-0.89589999999998327</v>
      </c>
      <c r="AY8">
        <f t="shared" si="0"/>
        <v>-0.14280000000002246</v>
      </c>
      <c r="AZ8">
        <f>AZ7*1</f>
        <v>0.60723320000000003</v>
      </c>
      <c r="BA8">
        <f t="shared" ref="BA8:CW8" si="1">BA7*1</f>
        <v>1.357437</v>
      </c>
      <c r="BB8">
        <f t="shared" si="1"/>
        <v>2.0984759999999998</v>
      </c>
      <c r="BC8">
        <f t="shared" si="1"/>
        <v>3.0484439999999999</v>
      </c>
      <c r="BD8">
        <f t="shared" si="1"/>
        <v>3.8115589999999999</v>
      </c>
      <c r="BE8">
        <f t="shared" si="1"/>
        <v>4.5831939999999998</v>
      </c>
      <c r="BF8">
        <f t="shared" si="1"/>
        <v>5.2741569999999998</v>
      </c>
      <c r="BG8">
        <f t="shared" si="1"/>
        <v>5.9660849999999996</v>
      </c>
      <c r="BH8">
        <f t="shared" si="1"/>
        <v>6.8946649999999998</v>
      </c>
      <c r="BI8">
        <f t="shared" si="1"/>
        <v>7.6552759999999997</v>
      </c>
      <c r="BJ8">
        <f t="shared" si="1"/>
        <v>8.3862830000000006</v>
      </c>
      <c r="BK8">
        <f t="shared" si="1"/>
        <v>9.0524679999999993</v>
      </c>
      <c r="BL8">
        <f t="shared" si="1"/>
        <v>9.971584</v>
      </c>
      <c r="BM8">
        <f t="shared" si="1"/>
        <v>10.72264</v>
      </c>
      <c r="BN8">
        <f t="shared" si="1"/>
        <v>11.404680000000001</v>
      </c>
      <c r="BO8">
        <f t="shared" si="1"/>
        <v>12.27684</v>
      </c>
      <c r="BP8">
        <f t="shared" si="1"/>
        <v>13.03171</v>
      </c>
      <c r="BQ8">
        <f t="shared" si="1"/>
        <v>13.62382</v>
      </c>
      <c r="BR8">
        <f t="shared" si="1"/>
        <v>14.579050000000001</v>
      </c>
      <c r="BS8">
        <f t="shared" si="1"/>
        <v>15.342969999999999</v>
      </c>
      <c r="BT8">
        <f t="shared" si="1"/>
        <v>16.126750000000001</v>
      </c>
      <c r="BU8">
        <f t="shared" si="1"/>
        <v>16.871690000000001</v>
      </c>
      <c r="BV8">
        <f t="shared" si="1"/>
        <v>17.64648</v>
      </c>
      <c r="BW8">
        <f t="shared" si="1"/>
        <v>18.384250000000002</v>
      </c>
      <c r="BX8">
        <f t="shared" si="1"/>
        <v>19.213450000000002</v>
      </c>
      <c r="BY8">
        <f t="shared" si="1"/>
        <v>19.982299999999999</v>
      </c>
      <c r="BZ8">
        <f t="shared" si="1"/>
        <v>20.778089999999999</v>
      </c>
      <c r="CA8">
        <f t="shared" si="1"/>
        <v>21.489699999999999</v>
      </c>
      <c r="CB8">
        <f t="shared" si="1"/>
        <v>22.31202</v>
      </c>
      <c r="CC8">
        <f t="shared" si="1"/>
        <v>23.058150000000001</v>
      </c>
      <c r="CD8">
        <f t="shared" si="1"/>
        <v>23.85755</v>
      </c>
      <c r="CE8">
        <f t="shared" si="1"/>
        <v>24.587319999999998</v>
      </c>
      <c r="CF8">
        <f t="shared" si="1"/>
        <v>25.430309999999999</v>
      </c>
      <c r="CG8">
        <f t="shared" si="1"/>
        <v>26.103400000000001</v>
      </c>
      <c r="CH8">
        <f t="shared" si="1"/>
        <v>27.004950000000001</v>
      </c>
      <c r="CI8">
        <f t="shared" si="1"/>
        <v>27.638729999999999</v>
      </c>
      <c r="CJ8">
        <f t="shared" si="1"/>
        <v>28.576779999999999</v>
      </c>
      <c r="CK8">
        <f t="shared" si="1"/>
        <v>29.254770000000001</v>
      </c>
      <c r="CL8">
        <f t="shared" si="1"/>
        <v>30.138629999999999</v>
      </c>
      <c r="CM8">
        <f t="shared" si="1"/>
        <v>30.779579999999999</v>
      </c>
      <c r="CN8">
        <f t="shared" si="1"/>
        <v>31.67906</v>
      </c>
      <c r="CO8">
        <f t="shared" si="1"/>
        <v>32.300139999999999</v>
      </c>
      <c r="CP8">
        <f t="shared" si="1"/>
        <v>33.256039999999999</v>
      </c>
      <c r="CQ8">
        <f t="shared" si="1"/>
        <v>33.910069999999997</v>
      </c>
      <c r="CR8">
        <f t="shared" si="1"/>
        <v>34.78369</v>
      </c>
      <c r="CS8">
        <f t="shared" si="1"/>
        <v>35.534880000000001</v>
      </c>
      <c r="CT8">
        <f t="shared" si="1"/>
        <v>36.565100000000001</v>
      </c>
      <c r="CU8">
        <f t="shared" si="1"/>
        <v>37.363869999999999</v>
      </c>
      <c r="CV8">
        <f t="shared" si="1"/>
        <v>37.947220000000002</v>
      </c>
      <c r="CW8">
        <f t="shared" si="1"/>
        <v>38.79222</v>
      </c>
    </row>
    <row r="9" spans="1:101" s="1" customFormat="1" x14ac:dyDescent="0.3">
      <c r="A9" s="1">
        <f>A2*1</f>
        <v>-39.200000000000003</v>
      </c>
      <c r="B9" s="1">
        <f t="shared" ref="B9:BM9" si="2">B2*1</f>
        <v>-38.4</v>
      </c>
      <c r="C9" s="1">
        <f t="shared" si="2"/>
        <v>-37.6</v>
      </c>
      <c r="D9" s="1">
        <f t="shared" si="2"/>
        <v>-36.799999999999997</v>
      </c>
      <c r="E9" s="1">
        <f t="shared" si="2"/>
        <v>-36</v>
      </c>
      <c r="F9" s="1">
        <f t="shared" si="2"/>
        <v>-35.200000000000003</v>
      </c>
      <c r="G9" s="1">
        <f t="shared" si="2"/>
        <v>-34.400010000000002</v>
      </c>
      <c r="H9" s="1">
        <f t="shared" si="2"/>
        <v>-33.600009999999997</v>
      </c>
      <c r="I9" s="1">
        <f t="shared" si="2"/>
        <v>-32.80001</v>
      </c>
      <c r="J9" s="1">
        <f t="shared" si="2"/>
        <v>-32.000010000000003</v>
      </c>
      <c r="K9" s="1">
        <f t="shared" si="2"/>
        <v>-31.200009999999999</v>
      </c>
      <c r="L9" s="1">
        <f t="shared" si="2"/>
        <v>-30.400010000000002</v>
      </c>
      <c r="M9" s="1">
        <f t="shared" si="2"/>
        <v>-29.600010000000001</v>
      </c>
      <c r="N9" s="1">
        <f t="shared" si="2"/>
        <v>-28.80001</v>
      </c>
      <c r="O9" s="1">
        <f t="shared" si="2"/>
        <v>-28.00001</v>
      </c>
      <c r="P9" s="1">
        <f t="shared" si="2"/>
        <v>-27.200009999999999</v>
      </c>
      <c r="Q9" s="1">
        <f t="shared" si="2"/>
        <v>-26.400010000000002</v>
      </c>
      <c r="R9" s="1">
        <f t="shared" si="2"/>
        <v>-25.600010000000001</v>
      </c>
      <c r="S9" s="1">
        <f t="shared" si="2"/>
        <v>-24.80001</v>
      </c>
      <c r="T9" s="1">
        <f t="shared" si="2"/>
        <v>-24.000019999999999</v>
      </c>
      <c r="U9" s="1">
        <f t="shared" si="2"/>
        <v>-23.200019999999999</v>
      </c>
      <c r="V9" s="1">
        <f t="shared" si="2"/>
        <v>-22.400020000000001</v>
      </c>
      <c r="W9" s="1">
        <f t="shared" si="2"/>
        <v>-21.600020000000001</v>
      </c>
      <c r="X9" s="1">
        <f t="shared" si="2"/>
        <v>-20.80002</v>
      </c>
      <c r="Y9" s="1">
        <f t="shared" si="2"/>
        <v>-20.000019999999999</v>
      </c>
      <c r="Z9" s="1">
        <f t="shared" si="2"/>
        <v>-19.200019999999999</v>
      </c>
      <c r="AA9" s="1">
        <f t="shared" si="2"/>
        <v>-18.400020000000001</v>
      </c>
      <c r="AB9" s="1">
        <f t="shared" si="2"/>
        <v>-17.600020000000001</v>
      </c>
      <c r="AC9" s="1">
        <f t="shared" si="2"/>
        <v>-16.80002</v>
      </c>
      <c r="AD9" s="1">
        <f t="shared" si="2"/>
        <v>-16.000019999999999</v>
      </c>
      <c r="AE9" s="1">
        <f t="shared" si="2"/>
        <v>-15.20002</v>
      </c>
      <c r="AF9" s="1">
        <f t="shared" si="2"/>
        <v>-14.40002</v>
      </c>
      <c r="AG9" s="1">
        <f t="shared" si="2"/>
        <v>-13.600020000000001</v>
      </c>
      <c r="AH9" s="1">
        <f t="shared" si="2"/>
        <v>-12.80002</v>
      </c>
      <c r="AI9" s="1">
        <f t="shared" si="2"/>
        <v>-12.000019999999999</v>
      </c>
      <c r="AJ9" s="1">
        <f t="shared" si="2"/>
        <v>-11.20002</v>
      </c>
      <c r="AK9" s="1">
        <f t="shared" si="2"/>
        <v>-10.40002</v>
      </c>
      <c r="AL9" s="1">
        <f t="shared" si="2"/>
        <v>-9.6000209999999999</v>
      </c>
      <c r="AM9" s="1">
        <f t="shared" si="2"/>
        <v>-8.8000209999999992</v>
      </c>
      <c r="AN9" s="1">
        <f t="shared" si="2"/>
        <v>-8.0000210000000003</v>
      </c>
      <c r="AO9" s="1">
        <f t="shared" si="2"/>
        <v>-7.2000209999999996</v>
      </c>
      <c r="AP9" s="1">
        <f t="shared" si="2"/>
        <v>-6.4000209999999997</v>
      </c>
      <c r="AQ9" s="1">
        <f t="shared" si="2"/>
        <v>-5.6000199999999998</v>
      </c>
      <c r="AR9" s="1">
        <f t="shared" si="2"/>
        <v>-4.80002</v>
      </c>
      <c r="AS9" s="1">
        <f t="shared" si="2"/>
        <v>-4.0000200000000001</v>
      </c>
      <c r="AT9" s="1">
        <f t="shared" si="2"/>
        <v>-3.2000199999999999</v>
      </c>
      <c r="AU9" s="1">
        <f t="shared" si="2"/>
        <v>-2.40002</v>
      </c>
      <c r="AV9" s="1">
        <f t="shared" si="2"/>
        <v>-1.60002</v>
      </c>
      <c r="AW9" s="1">
        <f t="shared" si="2"/>
        <v>-0.80002019999999996</v>
      </c>
      <c r="AX9" s="1">
        <f t="shared" si="2"/>
        <v>-2.0146369999999999E-5</v>
      </c>
      <c r="AY9" s="1">
        <f t="shared" si="2"/>
        <v>0.79997989999999997</v>
      </c>
      <c r="AZ9" s="1">
        <f t="shared" si="2"/>
        <v>1.59998</v>
      </c>
      <c r="BA9" s="1">
        <f t="shared" si="2"/>
        <v>2.3999799999999998</v>
      </c>
      <c r="BB9" s="1">
        <f t="shared" si="2"/>
        <v>3.19998</v>
      </c>
      <c r="BC9" s="1">
        <f t="shared" si="2"/>
        <v>3.9999799999999999</v>
      </c>
      <c r="BD9" s="1">
        <f t="shared" si="2"/>
        <v>4.7999799999999997</v>
      </c>
      <c r="BE9" s="1">
        <f t="shared" si="2"/>
        <v>5.5999800000000004</v>
      </c>
      <c r="BF9" s="1">
        <f t="shared" si="2"/>
        <v>6.3999800000000002</v>
      </c>
      <c r="BG9" s="1">
        <f t="shared" si="2"/>
        <v>7.19998</v>
      </c>
      <c r="BH9" s="1">
        <f t="shared" si="2"/>
        <v>7.9999799999999999</v>
      </c>
      <c r="BI9" s="1">
        <f t="shared" si="2"/>
        <v>8.7999799999999997</v>
      </c>
      <c r="BJ9" s="1">
        <f t="shared" si="2"/>
        <v>9.5999800000000004</v>
      </c>
      <c r="BK9" s="1">
        <f t="shared" si="2"/>
        <v>10.399979999999999</v>
      </c>
      <c r="BL9" s="1">
        <f t="shared" si="2"/>
        <v>11.19998</v>
      </c>
      <c r="BM9" s="1">
        <f t="shared" si="2"/>
        <v>11.999980000000001</v>
      </c>
      <c r="BN9" s="1">
        <f t="shared" ref="BN9:CW9" si="3">BN2*1</f>
        <v>12.79998</v>
      </c>
      <c r="BO9" s="1">
        <f t="shared" si="3"/>
        <v>13.59998</v>
      </c>
      <c r="BP9" s="1">
        <f t="shared" si="3"/>
        <v>14.399979999999999</v>
      </c>
      <c r="BQ9" s="1">
        <f t="shared" si="3"/>
        <v>15.19998</v>
      </c>
      <c r="BR9" s="1">
        <f t="shared" si="3"/>
        <v>15.999980000000001</v>
      </c>
      <c r="BS9" s="1">
        <f t="shared" si="3"/>
        <v>16.799980000000001</v>
      </c>
      <c r="BT9" s="1">
        <f t="shared" si="3"/>
        <v>17.599979999999999</v>
      </c>
      <c r="BU9" s="1">
        <f t="shared" si="3"/>
        <v>18.399979999999999</v>
      </c>
      <c r="BV9" s="1">
        <f t="shared" si="3"/>
        <v>19.19998</v>
      </c>
      <c r="BW9" s="1">
        <f t="shared" si="3"/>
        <v>19.999980000000001</v>
      </c>
      <c r="BX9" s="1">
        <f t="shared" si="3"/>
        <v>20.799980000000001</v>
      </c>
      <c r="BY9" s="1">
        <f t="shared" si="3"/>
        <v>21.599979999999999</v>
      </c>
      <c r="BZ9" s="1">
        <f t="shared" si="3"/>
        <v>22.399979999999999</v>
      </c>
      <c r="CA9" s="1">
        <f t="shared" si="3"/>
        <v>23.19998</v>
      </c>
      <c r="CB9" s="1">
        <f t="shared" si="3"/>
        <v>23.999980000000001</v>
      </c>
      <c r="CC9" s="1">
        <f t="shared" si="3"/>
        <v>24.799969999999998</v>
      </c>
      <c r="CD9" s="1">
        <f t="shared" si="3"/>
        <v>25.599969999999999</v>
      </c>
      <c r="CE9" s="1">
        <f t="shared" si="3"/>
        <v>26.39997</v>
      </c>
      <c r="CF9" s="1">
        <f t="shared" si="3"/>
        <v>27.19997</v>
      </c>
      <c r="CG9" s="1">
        <f t="shared" si="3"/>
        <v>27.999970000000001</v>
      </c>
      <c r="CH9" s="1">
        <f t="shared" si="3"/>
        <v>28.799969999999998</v>
      </c>
      <c r="CI9" s="1">
        <f t="shared" si="3"/>
        <v>29.599969999999999</v>
      </c>
      <c r="CJ9" s="1">
        <f t="shared" si="3"/>
        <v>30.39997</v>
      </c>
      <c r="CK9" s="1">
        <f t="shared" si="3"/>
        <v>31.19997</v>
      </c>
      <c r="CL9" s="1">
        <f t="shared" si="3"/>
        <v>31.999970000000001</v>
      </c>
      <c r="CM9" s="1">
        <f t="shared" si="3"/>
        <v>32.799970000000002</v>
      </c>
      <c r="CN9" s="1">
        <f t="shared" si="3"/>
        <v>33.599969999999999</v>
      </c>
      <c r="CO9" s="1">
        <f t="shared" si="3"/>
        <v>34.399970000000003</v>
      </c>
      <c r="CP9" s="1">
        <f t="shared" si="3"/>
        <v>35.19997</v>
      </c>
      <c r="CQ9" s="1">
        <f t="shared" si="3"/>
        <v>35.999969999999998</v>
      </c>
      <c r="CR9" s="1">
        <f t="shared" si="3"/>
        <v>36.799959999999999</v>
      </c>
      <c r="CS9" s="1">
        <f t="shared" si="3"/>
        <v>37.599960000000003</v>
      </c>
      <c r="CT9" s="1">
        <f t="shared" si="3"/>
        <v>38.39996</v>
      </c>
      <c r="CU9" s="1">
        <f t="shared" si="3"/>
        <v>39.199959999999997</v>
      </c>
      <c r="CV9" s="1">
        <f t="shared" si="3"/>
        <v>39.999960000000002</v>
      </c>
      <c r="CW9" s="1">
        <f t="shared" si="3"/>
        <v>40.799959999999999</v>
      </c>
    </row>
    <row r="11" spans="1:101" x14ac:dyDescent="0.3">
      <c r="A11">
        <f>A3*1</f>
        <v>252.25630000000001</v>
      </c>
      <c r="B11">
        <f t="shared" ref="B11:BM12" si="4">B3*1</f>
        <v>251.75149999999999</v>
      </c>
      <c r="C11">
        <f t="shared" si="4"/>
        <v>251.24979999999999</v>
      </c>
      <c r="D11">
        <f t="shared" si="4"/>
        <v>250.75149999999999</v>
      </c>
      <c r="E11">
        <f t="shared" si="4"/>
        <v>250.2567</v>
      </c>
      <c r="F11">
        <f t="shared" si="4"/>
        <v>249.7655</v>
      </c>
      <c r="G11">
        <f t="shared" si="4"/>
        <v>249.27799999999999</v>
      </c>
      <c r="H11">
        <f t="shared" si="4"/>
        <v>248.79429999999999</v>
      </c>
      <c r="I11">
        <f t="shared" si="4"/>
        <v>248.31450000000001</v>
      </c>
      <c r="J11">
        <f t="shared" si="4"/>
        <v>247.83879999999999</v>
      </c>
      <c r="K11">
        <f t="shared" si="4"/>
        <v>247.3673</v>
      </c>
      <c r="L11">
        <f t="shared" si="4"/>
        <v>246.90010000000001</v>
      </c>
      <c r="M11">
        <f t="shared" si="4"/>
        <v>246.43719999999999</v>
      </c>
      <c r="N11">
        <f t="shared" si="4"/>
        <v>245.97890000000001</v>
      </c>
      <c r="O11">
        <f t="shared" si="4"/>
        <v>245.52520000000001</v>
      </c>
      <c r="P11">
        <f t="shared" si="4"/>
        <v>245.0763</v>
      </c>
      <c r="Q11">
        <f t="shared" si="4"/>
        <v>244.63220000000001</v>
      </c>
      <c r="R11">
        <f t="shared" si="4"/>
        <v>244.19309999999999</v>
      </c>
      <c r="S11">
        <f t="shared" si="4"/>
        <v>243.75909999999999</v>
      </c>
      <c r="T11">
        <f t="shared" si="4"/>
        <v>243.33029999999999</v>
      </c>
      <c r="U11">
        <f t="shared" si="4"/>
        <v>242.9068</v>
      </c>
      <c r="V11">
        <f t="shared" si="4"/>
        <v>242.4888</v>
      </c>
      <c r="W11">
        <f t="shared" si="4"/>
        <v>242.0762</v>
      </c>
      <c r="X11">
        <f t="shared" si="4"/>
        <v>241.66929999999999</v>
      </c>
      <c r="Y11">
        <f t="shared" si="4"/>
        <v>241.26820000000001</v>
      </c>
      <c r="Z11">
        <f t="shared" si="4"/>
        <v>240.87289999999999</v>
      </c>
      <c r="AA11">
        <f t="shared" si="4"/>
        <v>240.4836</v>
      </c>
      <c r="AB11">
        <f t="shared" si="4"/>
        <v>240.1003</v>
      </c>
      <c r="AC11">
        <f t="shared" si="4"/>
        <v>239.72329999999999</v>
      </c>
      <c r="AD11">
        <f t="shared" si="4"/>
        <v>239.35239999999999</v>
      </c>
      <c r="AE11">
        <f t="shared" si="4"/>
        <v>238.988</v>
      </c>
      <c r="AF11">
        <f t="shared" si="4"/>
        <v>238.6301</v>
      </c>
      <c r="AG11">
        <f t="shared" si="4"/>
        <v>238.27869999999999</v>
      </c>
      <c r="AH11">
        <f t="shared" si="4"/>
        <v>237.934</v>
      </c>
      <c r="AI11">
        <f t="shared" si="4"/>
        <v>237.596</v>
      </c>
      <c r="AJ11">
        <f t="shared" si="4"/>
        <v>237.26499999999999</v>
      </c>
      <c r="AK11">
        <f t="shared" si="4"/>
        <v>236.9409</v>
      </c>
      <c r="AL11">
        <f t="shared" si="4"/>
        <v>236.62379999999999</v>
      </c>
      <c r="AM11">
        <f t="shared" si="4"/>
        <v>236.31389999999999</v>
      </c>
      <c r="AN11">
        <f t="shared" si="4"/>
        <v>236.0112</v>
      </c>
      <c r="AO11">
        <f t="shared" si="4"/>
        <v>235.7158</v>
      </c>
      <c r="AP11">
        <f t="shared" si="4"/>
        <v>235.42789999999999</v>
      </c>
      <c r="AQ11">
        <f t="shared" si="4"/>
        <v>235.1474</v>
      </c>
      <c r="AR11">
        <f t="shared" si="4"/>
        <v>234.87450000000001</v>
      </c>
      <c r="AS11">
        <f t="shared" si="4"/>
        <v>234.60919999999999</v>
      </c>
      <c r="AT11">
        <f t="shared" si="4"/>
        <v>234.35159999999999</v>
      </c>
      <c r="AU11">
        <f t="shared" si="4"/>
        <v>234.1019</v>
      </c>
      <c r="AV11">
        <f t="shared" si="4"/>
        <v>233.86</v>
      </c>
      <c r="AW11">
        <f t="shared" si="4"/>
        <v>233.62610000000001</v>
      </c>
      <c r="AX11">
        <f t="shared" si="4"/>
        <v>233.40020000000001</v>
      </c>
      <c r="AY11">
        <f t="shared" si="4"/>
        <v>233.1823</v>
      </c>
      <c r="AZ11">
        <f t="shared" si="4"/>
        <v>232.9727</v>
      </c>
      <c r="BA11">
        <f t="shared" si="4"/>
        <v>232.77119999999999</v>
      </c>
      <c r="BB11">
        <f t="shared" si="4"/>
        <v>232.578</v>
      </c>
      <c r="BC11">
        <f t="shared" si="4"/>
        <v>232.3931</v>
      </c>
      <c r="BD11">
        <f t="shared" si="4"/>
        <v>232.2166</v>
      </c>
      <c r="BE11">
        <f t="shared" si="4"/>
        <v>232.04859999999999</v>
      </c>
      <c r="BF11">
        <f t="shared" si="4"/>
        <v>231.88900000000001</v>
      </c>
      <c r="BG11">
        <f t="shared" si="4"/>
        <v>231.738</v>
      </c>
      <c r="BH11">
        <f t="shared" si="4"/>
        <v>231.59559999999999</v>
      </c>
      <c r="BI11">
        <f t="shared" si="4"/>
        <v>231.46180000000001</v>
      </c>
      <c r="BJ11">
        <f t="shared" si="4"/>
        <v>231.33670000000001</v>
      </c>
      <c r="BK11">
        <f t="shared" si="4"/>
        <v>231.22020000000001</v>
      </c>
      <c r="BL11">
        <f t="shared" si="4"/>
        <v>231.11250000000001</v>
      </c>
      <c r="BM11">
        <f t="shared" si="4"/>
        <v>231.0136</v>
      </c>
      <c r="BN11">
        <f t="shared" ref="BN11:CW14" si="5">BN3*1</f>
        <v>230.92349999999999</v>
      </c>
      <c r="BO11">
        <f t="shared" si="5"/>
        <v>230.84229999999999</v>
      </c>
      <c r="BP11">
        <f t="shared" si="5"/>
        <v>230.76990000000001</v>
      </c>
      <c r="BQ11">
        <f t="shared" si="5"/>
        <v>230.7064</v>
      </c>
      <c r="BR11">
        <f t="shared" si="5"/>
        <v>230.65180000000001</v>
      </c>
      <c r="BS11">
        <f t="shared" si="5"/>
        <v>230.6061</v>
      </c>
      <c r="BT11">
        <f t="shared" si="5"/>
        <v>230.5693</v>
      </c>
      <c r="BU11">
        <f t="shared" si="5"/>
        <v>230.54150000000001</v>
      </c>
      <c r="BV11">
        <f t="shared" si="5"/>
        <v>230.52269999999999</v>
      </c>
      <c r="BW11">
        <f t="shared" si="5"/>
        <v>230.5128</v>
      </c>
      <c r="BX11">
        <f t="shared" si="5"/>
        <v>230.51179999999999</v>
      </c>
      <c r="BY11">
        <f t="shared" si="5"/>
        <v>230.51990000000001</v>
      </c>
      <c r="BZ11">
        <f t="shared" si="5"/>
        <v>230.5369</v>
      </c>
      <c r="CA11">
        <f t="shared" si="5"/>
        <v>230.56280000000001</v>
      </c>
      <c r="CB11">
        <f t="shared" si="5"/>
        <v>230.5977</v>
      </c>
      <c r="CC11">
        <f t="shared" si="5"/>
        <v>230.64160000000001</v>
      </c>
      <c r="CD11">
        <f t="shared" si="5"/>
        <v>230.6943</v>
      </c>
      <c r="CE11">
        <f t="shared" si="5"/>
        <v>230.756</v>
      </c>
      <c r="CF11">
        <f t="shared" si="5"/>
        <v>230.82660000000001</v>
      </c>
      <c r="CG11">
        <f t="shared" si="5"/>
        <v>230.90600000000001</v>
      </c>
      <c r="CH11">
        <f t="shared" si="5"/>
        <v>230.99420000000001</v>
      </c>
      <c r="CI11">
        <f t="shared" si="5"/>
        <v>231.09129999999999</v>
      </c>
      <c r="CJ11">
        <f t="shared" si="5"/>
        <v>231.19720000000001</v>
      </c>
      <c r="CK11">
        <f t="shared" si="5"/>
        <v>231.31180000000001</v>
      </c>
      <c r="CL11">
        <f t="shared" si="5"/>
        <v>231.43510000000001</v>
      </c>
      <c r="CM11">
        <f t="shared" si="5"/>
        <v>231.56710000000001</v>
      </c>
      <c r="CN11">
        <f t="shared" si="5"/>
        <v>231.70779999999999</v>
      </c>
      <c r="CO11">
        <f t="shared" si="5"/>
        <v>231.857</v>
      </c>
      <c r="CP11">
        <f t="shared" si="5"/>
        <v>232.01480000000001</v>
      </c>
      <c r="CQ11">
        <f t="shared" si="5"/>
        <v>232.18109999999999</v>
      </c>
      <c r="CR11">
        <f t="shared" si="5"/>
        <v>232.35579999999999</v>
      </c>
      <c r="CS11">
        <f t="shared" si="5"/>
        <v>232.53899999999999</v>
      </c>
      <c r="CT11">
        <f t="shared" si="5"/>
        <v>232.7304</v>
      </c>
      <c r="CU11">
        <f t="shared" si="5"/>
        <v>232.93020000000001</v>
      </c>
      <c r="CV11">
        <f t="shared" si="5"/>
        <v>233.13820000000001</v>
      </c>
      <c r="CW11">
        <f t="shared" si="5"/>
        <v>233.35429999999999</v>
      </c>
    </row>
    <row r="12" spans="1:101" x14ac:dyDescent="0.3">
      <c r="A12">
        <f t="shared" ref="A12:P14" si="6">A4*1</f>
        <v>226.24539999999999</v>
      </c>
      <c r="B12">
        <f t="shared" si="6"/>
        <v>225.20079999999999</v>
      </c>
      <c r="C12">
        <f t="shared" si="6"/>
        <v>224.20330000000001</v>
      </c>
      <c r="D12">
        <f t="shared" si="6"/>
        <v>223.25380000000001</v>
      </c>
      <c r="E12">
        <f t="shared" si="6"/>
        <v>222.35300000000001</v>
      </c>
      <c r="F12">
        <f t="shared" si="6"/>
        <v>221.50190000000001</v>
      </c>
      <c r="G12">
        <f t="shared" si="6"/>
        <v>220.70099999999999</v>
      </c>
      <c r="H12">
        <f t="shared" si="6"/>
        <v>219.9512</v>
      </c>
      <c r="I12">
        <f t="shared" si="6"/>
        <v>219.25299999999999</v>
      </c>
      <c r="J12">
        <f t="shared" si="6"/>
        <v>218.6071</v>
      </c>
      <c r="K12">
        <f t="shared" si="6"/>
        <v>218.01419999999999</v>
      </c>
      <c r="L12">
        <f t="shared" si="6"/>
        <v>217.47470000000001</v>
      </c>
      <c r="M12">
        <f t="shared" si="6"/>
        <v>216.98910000000001</v>
      </c>
      <c r="N12">
        <f t="shared" si="6"/>
        <v>216.55799999999999</v>
      </c>
      <c r="O12">
        <f t="shared" si="6"/>
        <v>216.18170000000001</v>
      </c>
      <c r="P12">
        <f t="shared" si="6"/>
        <v>215.8605</v>
      </c>
      <c r="Q12">
        <f t="shared" si="4"/>
        <v>215.5949</v>
      </c>
      <c r="R12">
        <f t="shared" si="4"/>
        <v>215.38499999999999</v>
      </c>
      <c r="S12">
        <f t="shared" si="4"/>
        <v>215.2311</v>
      </c>
      <c r="T12">
        <f t="shared" si="4"/>
        <v>215.13329999999999</v>
      </c>
      <c r="U12">
        <f t="shared" si="4"/>
        <v>215.0916</v>
      </c>
      <c r="V12">
        <f t="shared" si="4"/>
        <v>215.1062</v>
      </c>
      <c r="W12">
        <f t="shared" si="4"/>
        <v>215.1771</v>
      </c>
      <c r="X12">
        <f t="shared" si="4"/>
        <v>215.30410000000001</v>
      </c>
      <c r="Y12">
        <f t="shared" si="4"/>
        <v>215.4871</v>
      </c>
      <c r="Z12">
        <f t="shared" si="4"/>
        <v>215.726</v>
      </c>
      <c r="AA12">
        <f t="shared" si="4"/>
        <v>216.0205</v>
      </c>
      <c r="AB12">
        <f t="shared" si="4"/>
        <v>216.37029999999999</v>
      </c>
      <c r="AC12">
        <f t="shared" si="4"/>
        <v>216.77510000000001</v>
      </c>
      <c r="AD12">
        <f t="shared" si="4"/>
        <v>217.2346</v>
      </c>
      <c r="AE12">
        <f t="shared" si="4"/>
        <v>217.7482</v>
      </c>
      <c r="AF12">
        <f t="shared" si="4"/>
        <v>218.31559999999999</v>
      </c>
      <c r="AG12">
        <f t="shared" si="4"/>
        <v>218.93610000000001</v>
      </c>
      <c r="AH12">
        <f t="shared" si="4"/>
        <v>219.60919999999999</v>
      </c>
      <c r="AI12">
        <f t="shared" si="4"/>
        <v>220.33430000000001</v>
      </c>
      <c r="AJ12">
        <f t="shared" si="4"/>
        <v>221.11070000000001</v>
      </c>
      <c r="AK12">
        <f t="shared" si="4"/>
        <v>221.93780000000001</v>
      </c>
      <c r="AL12">
        <f t="shared" si="4"/>
        <v>222.81479999999999</v>
      </c>
      <c r="AM12">
        <f t="shared" si="4"/>
        <v>223.74100000000001</v>
      </c>
      <c r="AN12">
        <f t="shared" si="4"/>
        <v>224.71549999999999</v>
      </c>
      <c r="AO12">
        <f t="shared" si="4"/>
        <v>225.73759999999999</v>
      </c>
      <c r="AP12">
        <f t="shared" si="4"/>
        <v>226.8065</v>
      </c>
      <c r="AQ12">
        <f t="shared" si="4"/>
        <v>227.9211</v>
      </c>
      <c r="AR12">
        <f t="shared" si="4"/>
        <v>229.08080000000001</v>
      </c>
      <c r="AS12">
        <f t="shared" si="4"/>
        <v>230.28450000000001</v>
      </c>
      <c r="AT12">
        <f t="shared" si="4"/>
        <v>231.53139999999999</v>
      </c>
      <c r="AU12">
        <f t="shared" si="4"/>
        <v>232.82050000000001</v>
      </c>
      <c r="AV12">
        <f t="shared" si="4"/>
        <v>234.1508</v>
      </c>
      <c r="AW12">
        <f t="shared" si="4"/>
        <v>235.5215</v>
      </c>
      <c r="AX12">
        <f t="shared" si="4"/>
        <v>236.9315</v>
      </c>
      <c r="AY12">
        <f t="shared" si="4"/>
        <v>238.37989999999999</v>
      </c>
      <c r="AZ12">
        <f t="shared" si="4"/>
        <v>239.8657</v>
      </c>
      <c r="BA12">
        <f t="shared" si="4"/>
        <v>241.3879</v>
      </c>
      <c r="BB12">
        <f t="shared" si="4"/>
        <v>242.94560000000001</v>
      </c>
      <c r="BC12">
        <f t="shared" si="4"/>
        <v>244.5377</v>
      </c>
      <c r="BD12">
        <f t="shared" si="4"/>
        <v>246.16329999999999</v>
      </c>
      <c r="BE12">
        <f t="shared" si="4"/>
        <v>247.82149999999999</v>
      </c>
      <c r="BF12">
        <f t="shared" si="4"/>
        <v>249.5112</v>
      </c>
      <c r="BG12">
        <f t="shared" si="4"/>
        <v>251.23140000000001</v>
      </c>
      <c r="BH12">
        <f t="shared" si="4"/>
        <v>252.9813</v>
      </c>
      <c r="BI12">
        <f t="shared" si="4"/>
        <v>254.75989999999999</v>
      </c>
      <c r="BJ12">
        <f t="shared" si="4"/>
        <v>256.56619999999998</v>
      </c>
      <c r="BK12">
        <f t="shared" si="4"/>
        <v>258.39940000000001</v>
      </c>
      <c r="BL12">
        <f t="shared" si="4"/>
        <v>260.25839999999999</v>
      </c>
      <c r="BM12">
        <f t="shared" si="4"/>
        <v>262.14240000000001</v>
      </c>
      <c r="BN12">
        <f t="shared" si="5"/>
        <v>264.0505</v>
      </c>
      <c r="BO12">
        <f t="shared" si="5"/>
        <v>265.98180000000002</v>
      </c>
      <c r="BP12">
        <f t="shared" si="5"/>
        <v>267.93549999999999</v>
      </c>
      <c r="BQ12">
        <f t="shared" si="5"/>
        <v>269.91059999999999</v>
      </c>
      <c r="BR12">
        <f t="shared" si="5"/>
        <v>271.90629999999999</v>
      </c>
      <c r="BS12">
        <f t="shared" si="5"/>
        <v>273.92180000000002</v>
      </c>
      <c r="BT12">
        <f t="shared" si="5"/>
        <v>275.95620000000002</v>
      </c>
      <c r="BU12">
        <f t="shared" si="5"/>
        <v>278.00880000000001</v>
      </c>
      <c r="BV12">
        <f t="shared" si="5"/>
        <v>280.0788</v>
      </c>
      <c r="BW12">
        <f t="shared" si="5"/>
        <v>282.1653</v>
      </c>
      <c r="BX12">
        <f t="shared" si="5"/>
        <v>284.26760000000002</v>
      </c>
      <c r="BY12">
        <f t="shared" si="5"/>
        <v>286.38499999999999</v>
      </c>
      <c r="BZ12">
        <f t="shared" si="5"/>
        <v>288.51670000000001</v>
      </c>
      <c r="CA12">
        <f t="shared" si="5"/>
        <v>290.66199999999998</v>
      </c>
      <c r="CB12">
        <f t="shared" si="5"/>
        <v>292.8202</v>
      </c>
      <c r="CC12">
        <f t="shared" si="5"/>
        <v>294.9905</v>
      </c>
      <c r="CD12">
        <f t="shared" si="5"/>
        <v>297.17230000000001</v>
      </c>
      <c r="CE12">
        <f t="shared" si="5"/>
        <v>299.36500000000001</v>
      </c>
      <c r="CF12">
        <f t="shared" si="5"/>
        <v>301.5677</v>
      </c>
      <c r="CG12">
        <f t="shared" si="5"/>
        <v>303.7801</v>
      </c>
      <c r="CH12">
        <f t="shared" si="5"/>
        <v>306.00130000000001</v>
      </c>
      <c r="CI12">
        <f t="shared" si="5"/>
        <v>308.23070000000001</v>
      </c>
      <c r="CJ12">
        <f t="shared" si="5"/>
        <v>310.46780000000001</v>
      </c>
      <c r="CK12">
        <f t="shared" si="5"/>
        <v>312.71199999999999</v>
      </c>
      <c r="CL12">
        <f t="shared" si="5"/>
        <v>314.96269999999998</v>
      </c>
      <c r="CM12">
        <f t="shared" si="5"/>
        <v>317.2192</v>
      </c>
      <c r="CN12">
        <f t="shared" si="5"/>
        <v>319.48110000000003</v>
      </c>
      <c r="CO12">
        <f t="shared" si="5"/>
        <v>321.74779999999998</v>
      </c>
      <c r="CP12">
        <f t="shared" si="5"/>
        <v>324.0188</v>
      </c>
      <c r="CQ12">
        <f t="shared" si="5"/>
        <v>326.29340000000002</v>
      </c>
      <c r="CR12">
        <f t="shared" si="5"/>
        <v>328.57130000000001</v>
      </c>
      <c r="CS12">
        <f t="shared" si="5"/>
        <v>330.8519</v>
      </c>
      <c r="CT12">
        <f t="shared" si="5"/>
        <v>333.13470000000001</v>
      </c>
      <c r="CU12">
        <f t="shared" si="5"/>
        <v>335.41919999999999</v>
      </c>
      <c r="CV12">
        <f t="shared" si="5"/>
        <v>337.70499999999998</v>
      </c>
      <c r="CW12">
        <f t="shared" si="5"/>
        <v>339.99149999999997</v>
      </c>
    </row>
    <row r="13" spans="1:101" x14ac:dyDescent="0.3">
      <c r="A13">
        <f t="shared" si="6"/>
        <v>339.99160000000001</v>
      </c>
      <c r="B13">
        <f t="shared" ref="B13:BM14" si="7">B5*1</f>
        <v>337.70510000000002</v>
      </c>
      <c r="C13">
        <f t="shared" si="7"/>
        <v>335.41930000000002</v>
      </c>
      <c r="D13">
        <f t="shared" si="7"/>
        <v>333.13479999999998</v>
      </c>
      <c r="E13">
        <f t="shared" si="7"/>
        <v>330.85199999999998</v>
      </c>
      <c r="F13">
        <f t="shared" si="7"/>
        <v>328.57139999999998</v>
      </c>
      <c r="G13">
        <f t="shared" si="7"/>
        <v>326.29349999999999</v>
      </c>
      <c r="H13">
        <f t="shared" si="7"/>
        <v>324.01889999999997</v>
      </c>
      <c r="I13">
        <f t="shared" si="7"/>
        <v>321.74790000000002</v>
      </c>
      <c r="J13">
        <f t="shared" si="7"/>
        <v>319.4812</v>
      </c>
      <c r="K13">
        <f t="shared" si="7"/>
        <v>317.21929999999998</v>
      </c>
      <c r="L13">
        <f t="shared" si="7"/>
        <v>314.96280000000002</v>
      </c>
      <c r="M13">
        <f t="shared" si="7"/>
        <v>312.7122</v>
      </c>
      <c r="N13">
        <f t="shared" si="7"/>
        <v>310.46800000000002</v>
      </c>
      <c r="O13">
        <f t="shared" si="7"/>
        <v>308.23079999999999</v>
      </c>
      <c r="P13">
        <f t="shared" si="7"/>
        <v>306.00139999999999</v>
      </c>
      <c r="Q13">
        <f t="shared" si="7"/>
        <v>303.78019999999998</v>
      </c>
      <c r="R13">
        <f t="shared" si="7"/>
        <v>301.56790000000001</v>
      </c>
      <c r="S13">
        <f t="shared" si="7"/>
        <v>299.36509999999998</v>
      </c>
      <c r="T13">
        <f t="shared" si="7"/>
        <v>297.17239999999998</v>
      </c>
      <c r="U13">
        <f t="shared" si="7"/>
        <v>294.99059999999997</v>
      </c>
      <c r="V13">
        <f t="shared" si="7"/>
        <v>292.82029999999997</v>
      </c>
      <c r="W13">
        <f t="shared" si="7"/>
        <v>290.66210000000001</v>
      </c>
      <c r="X13">
        <f t="shared" si="7"/>
        <v>288.51679999999999</v>
      </c>
      <c r="Y13">
        <f t="shared" si="7"/>
        <v>286.38510000000002</v>
      </c>
      <c r="Z13">
        <f t="shared" si="7"/>
        <v>284.26769999999999</v>
      </c>
      <c r="AA13">
        <f t="shared" si="7"/>
        <v>282.16539999999998</v>
      </c>
      <c r="AB13">
        <f t="shared" si="7"/>
        <v>280.07889999999998</v>
      </c>
      <c r="AC13">
        <f t="shared" si="7"/>
        <v>278.00889999999998</v>
      </c>
      <c r="AD13">
        <f t="shared" si="7"/>
        <v>275.9563</v>
      </c>
      <c r="AE13">
        <f t="shared" si="7"/>
        <v>273.92189999999999</v>
      </c>
      <c r="AF13">
        <f t="shared" si="7"/>
        <v>271.90640000000002</v>
      </c>
      <c r="AG13">
        <f t="shared" si="7"/>
        <v>269.91070000000002</v>
      </c>
      <c r="AH13">
        <f t="shared" si="7"/>
        <v>267.93560000000002</v>
      </c>
      <c r="AI13">
        <f t="shared" si="7"/>
        <v>265.98200000000003</v>
      </c>
      <c r="AJ13">
        <f t="shared" si="7"/>
        <v>264.05059999999997</v>
      </c>
      <c r="AK13">
        <f t="shared" si="7"/>
        <v>262.14249999999998</v>
      </c>
      <c r="AL13">
        <f t="shared" si="7"/>
        <v>260.25850000000003</v>
      </c>
      <c r="AM13">
        <f t="shared" si="7"/>
        <v>258.39949999999999</v>
      </c>
      <c r="AN13">
        <f t="shared" si="7"/>
        <v>256.56630000000001</v>
      </c>
      <c r="AO13">
        <f t="shared" si="7"/>
        <v>254.76</v>
      </c>
      <c r="AP13">
        <f t="shared" si="7"/>
        <v>252.98140000000001</v>
      </c>
      <c r="AQ13">
        <f t="shared" si="7"/>
        <v>251.23150000000001</v>
      </c>
      <c r="AR13">
        <f t="shared" si="7"/>
        <v>249.5112</v>
      </c>
      <c r="AS13">
        <f t="shared" si="7"/>
        <v>247.82149999999999</v>
      </c>
      <c r="AT13">
        <f t="shared" si="7"/>
        <v>246.1634</v>
      </c>
      <c r="AU13">
        <f t="shared" si="7"/>
        <v>244.5378</v>
      </c>
      <c r="AV13">
        <f t="shared" si="7"/>
        <v>242.94569999999999</v>
      </c>
      <c r="AW13">
        <f t="shared" si="7"/>
        <v>241.38800000000001</v>
      </c>
      <c r="AX13">
        <f t="shared" si="7"/>
        <v>239.86580000000001</v>
      </c>
      <c r="AY13">
        <f t="shared" si="7"/>
        <v>238.38</v>
      </c>
      <c r="AZ13">
        <f t="shared" si="7"/>
        <v>236.9316</v>
      </c>
      <c r="BA13">
        <f t="shared" si="7"/>
        <v>235.52160000000001</v>
      </c>
      <c r="BB13">
        <f t="shared" si="7"/>
        <v>234.15090000000001</v>
      </c>
      <c r="BC13">
        <f t="shared" si="7"/>
        <v>232.82060000000001</v>
      </c>
      <c r="BD13">
        <f t="shared" si="7"/>
        <v>231.53149999999999</v>
      </c>
      <c r="BE13">
        <f t="shared" si="7"/>
        <v>230.28460000000001</v>
      </c>
      <c r="BF13">
        <f t="shared" si="7"/>
        <v>229.08090000000001</v>
      </c>
      <c r="BG13">
        <f t="shared" si="7"/>
        <v>227.9212</v>
      </c>
      <c r="BH13">
        <f t="shared" si="7"/>
        <v>226.8065</v>
      </c>
      <c r="BI13">
        <f t="shared" si="7"/>
        <v>225.73769999999999</v>
      </c>
      <c r="BJ13">
        <f t="shared" si="7"/>
        <v>224.71559999999999</v>
      </c>
      <c r="BK13">
        <f t="shared" si="7"/>
        <v>223.74100000000001</v>
      </c>
      <c r="BL13">
        <f t="shared" si="7"/>
        <v>222.81489999999999</v>
      </c>
      <c r="BM13">
        <f t="shared" si="7"/>
        <v>221.93790000000001</v>
      </c>
      <c r="BN13">
        <f t="shared" si="5"/>
        <v>221.11080000000001</v>
      </c>
      <c r="BO13">
        <f t="shared" si="5"/>
        <v>220.33430000000001</v>
      </c>
      <c r="BP13">
        <f t="shared" si="5"/>
        <v>219.60919999999999</v>
      </c>
      <c r="BQ13">
        <f t="shared" si="5"/>
        <v>218.93610000000001</v>
      </c>
      <c r="BR13">
        <f t="shared" si="5"/>
        <v>218.31559999999999</v>
      </c>
      <c r="BS13">
        <f t="shared" si="5"/>
        <v>217.7483</v>
      </c>
      <c r="BT13">
        <f t="shared" si="5"/>
        <v>217.2346</v>
      </c>
      <c r="BU13">
        <f t="shared" si="5"/>
        <v>216.77520000000001</v>
      </c>
      <c r="BV13">
        <f t="shared" si="5"/>
        <v>216.37029999999999</v>
      </c>
      <c r="BW13">
        <f t="shared" si="5"/>
        <v>216.0205</v>
      </c>
      <c r="BX13">
        <f t="shared" si="5"/>
        <v>215.726</v>
      </c>
      <c r="BY13">
        <f t="shared" si="5"/>
        <v>215.4871</v>
      </c>
      <c r="BZ13">
        <f t="shared" si="5"/>
        <v>215.30410000000001</v>
      </c>
      <c r="CA13">
        <f t="shared" si="5"/>
        <v>215.1771</v>
      </c>
      <c r="CB13">
        <f t="shared" si="5"/>
        <v>215.1062</v>
      </c>
      <c r="CC13">
        <f t="shared" si="5"/>
        <v>215.0916</v>
      </c>
      <c r="CD13">
        <f t="shared" si="5"/>
        <v>215.13329999999999</v>
      </c>
      <c r="CE13">
        <f t="shared" si="5"/>
        <v>215.2311</v>
      </c>
      <c r="CF13">
        <f t="shared" si="5"/>
        <v>215.38499999999999</v>
      </c>
      <c r="CG13">
        <f t="shared" si="5"/>
        <v>215.5949</v>
      </c>
      <c r="CH13">
        <f t="shared" si="5"/>
        <v>215.8605</v>
      </c>
      <c r="CI13">
        <f t="shared" si="5"/>
        <v>216.18170000000001</v>
      </c>
      <c r="CJ13">
        <f t="shared" si="5"/>
        <v>216.55799999999999</v>
      </c>
      <c r="CK13">
        <f t="shared" si="5"/>
        <v>216.98910000000001</v>
      </c>
      <c r="CL13">
        <f t="shared" si="5"/>
        <v>217.47470000000001</v>
      </c>
      <c r="CM13">
        <f t="shared" si="5"/>
        <v>218.01419999999999</v>
      </c>
      <c r="CN13">
        <f t="shared" si="5"/>
        <v>218.6071</v>
      </c>
      <c r="CO13">
        <f t="shared" si="5"/>
        <v>219.25299999999999</v>
      </c>
      <c r="CP13">
        <f t="shared" si="5"/>
        <v>219.9511</v>
      </c>
      <c r="CQ13">
        <f t="shared" si="5"/>
        <v>220.70099999999999</v>
      </c>
      <c r="CR13">
        <f t="shared" si="5"/>
        <v>221.5018</v>
      </c>
      <c r="CS13">
        <f t="shared" si="5"/>
        <v>222.35300000000001</v>
      </c>
      <c r="CT13">
        <f t="shared" si="5"/>
        <v>223.25370000000001</v>
      </c>
      <c r="CU13">
        <f t="shared" si="5"/>
        <v>224.20320000000001</v>
      </c>
      <c r="CV13">
        <f t="shared" si="5"/>
        <v>225.20070000000001</v>
      </c>
      <c r="CW13">
        <f t="shared" si="5"/>
        <v>226.24539999999999</v>
      </c>
    </row>
    <row r="14" spans="1:101" x14ac:dyDescent="0.3">
      <c r="A14">
        <f t="shared" si="6"/>
        <v>233.35429999999999</v>
      </c>
      <c r="B14">
        <f t="shared" si="7"/>
        <v>233.13820000000001</v>
      </c>
      <c r="C14">
        <f t="shared" si="7"/>
        <v>232.93020000000001</v>
      </c>
      <c r="D14">
        <f t="shared" si="7"/>
        <v>232.73050000000001</v>
      </c>
      <c r="E14">
        <f t="shared" si="7"/>
        <v>232.53899999999999</v>
      </c>
      <c r="F14">
        <f t="shared" si="7"/>
        <v>232.35579999999999</v>
      </c>
      <c r="G14">
        <f t="shared" si="7"/>
        <v>232.18109999999999</v>
      </c>
      <c r="H14">
        <f t="shared" si="7"/>
        <v>232.01480000000001</v>
      </c>
      <c r="I14">
        <f t="shared" si="7"/>
        <v>231.857</v>
      </c>
      <c r="J14">
        <f t="shared" si="7"/>
        <v>231.70779999999999</v>
      </c>
      <c r="K14">
        <f t="shared" si="7"/>
        <v>231.56710000000001</v>
      </c>
      <c r="L14">
        <f t="shared" si="7"/>
        <v>231.43510000000001</v>
      </c>
      <c r="M14">
        <f t="shared" si="7"/>
        <v>231.31180000000001</v>
      </c>
      <c r="N14">
        <f t="shared" si="7"/>
        <v>231.19720000000001</v>
      </c>
      <c r="O14">
        <f t="shared" si="7"/>
        <v>231.09129999999999</v>
      </c>
      <c r="P14">
        <f t="shared" si="7"/>
        <v>230.99420000000001</v>
      </c>
      <c r="Q14">
        <f t="shared" si="7"/>
        <v>230.90600000000001</v>
      </c>
      <c r="R14">
        <f t="shared" si="7"/>
        <v>230.82660000000001</v>
      </c>
      <c r="S14">
        <f t="shared" si="7"/>
        <v>230.756</v>
      </c>
      <c r="T14">
        <f t="shared" si="7"/>
        <v>230.6943</v>
      </c>
      <c r="U14">
        <f t="shared" si="7"/>
        <v>230.64160000000001</v>
      </c>
      <c r="V14">
        <f t="shared" si="7"/>
        <v>230.5977</v>
      </c>
      <c r="W14">
        <f t="shared" si="7"/>
        <v>230.56280000000001</v>
      </c>
      <c r="X14">
        <f t="shared" si="7"/>
        <v>230.5369</v>
      </c>
      <c r="Y14">
        <f t="shared" si="7"/>
        <v>230.51990000000001</v>
      </c>
      <c r="Z14">
        <f t="shared" si="7"/>
        <v>230.51179999999999</v>
      </c>
      <c r="AA14">
        <f t="shared" si="7"/>
        <v>230.5128</v>
      </c>
      <c r="AB14">
        <f t="shared" si="7"/>
        <v>230.52269999999999</v>
      </c>
      <c r="AC14">
        <f t="shared" si="7"/>
        <v>230.54150000000001</v>
      </c>
      <c r="AD14">
        <f t="shared" si="7"/>
        <v>230.5693</v>
      </c>
      <c r="AE14">
        <f t="shared" si="7"/>
        <v>230.6061</v>
      </c>
      <c r="AF14">
        <f t="shared" si="7"/>
        <v>230.65180000000001</v>
      </c>
      <c r="AG14">
        <f t="shared" si="7"/>
        <v>230.7064</v>
      </c>
      <c r="AH14">
        <f t="shared" si="7"/>
        <v>230.76990000000001</v>
      </c>
      <c r="AI14">
        <f t="shared" si="7"/>
        <v>230.84229999999999</v>
      </c>
      <c r="AJ14">
        <f t="shared" si="7"/>
        <v>230.92349999999999</v>
      </c>
      <c r="AK14">
        <f t="shared" si="7"/>
        <v>231.0136</v>
      </c>
      <c r="AL14">
        <f t="shared" si="7"/>
        <v>231.11250000000001</v>
      </c>
      <c r="AM14">
        <f t="shared" si="7"/>
        <v>231.22020000000001</v>
      </c>
      <c r="AN14">
        <f t="shared" si="7"/>
        <v>231.3366</v>
      </c>
      <c r="AO14">
        <f t="shared" si="7"/>
        <v>231.46180000000001</v>
      </c>
      <c r="AP14">
        <f t="shared" si="7"/>
        <v>231.59559999999999</v>
      </c>
      <c r="AQ14">
        <f t="shared" si="7"/>
        <v>231.738</v>
      </c>
      <c r="AR14">
        <f t="shared" si="7"/>
        <v>231.88900000000001</v>
      </c>
      <c r="AS14">
        <f t="shared" si="7"/>
        <v>232.04859999999999</v>
      </c>
      <c r="AT14">
        <f t="shared" si="7"/>
        <v>232.2166</v>
      </c>
      <c r="AU14">
        <f t="shared" si="7"/>
        <v>232.3931</v>
      </c>
      <c r="AV14">
        <f t="shared" si="7"/>
        <v>232.578</v>
      </c>
      <c r="AW14">
        <f t="shared" si="7"/>
        <v>232.77119999999999</v>
      </c>
      <c r="AX14">
        <f t="shared" si="7"/>
        <v>232.9726</v>
      </c>
      <c r="AY14">
        <f t="shared" si="7"/>
        <v>233.1823</v>
      </c>
      <c r="AZ14">
        <f t="shared" si="7"/>
        <v>233.40020000000001</v>
      </c>
      <c r="BA14">
        <f t="shared" si="7"/>
        <v>233.62610000000001</v>
      </c>
      <c r="BB14">
        <f t="shared" si="7"/>
        <v>233.86</v>
      </c>
      <c r="BC14">
        <f t="shared" si="7"/>
        <v>234.1019</v>
      </c>
      <c r="BD14">
        <f t="shared" si="7"/>
        <v>234.35159999999999</v>
      </c>
      <c r="BE14">
        <f t="shared" si="7"/>
        <v>234.60919999999999</v>
      </c>
      <c r="BF14">
        <f t="shared" si="7"/>
        <v>234.87440000000001</v>
      </c>
      <c r="BG14">
        <f t="shared" si="7"/>
        <v>235.1474</v>
      </c>
      <c r="BH14">
        <f t="shared" si="7"/>
        <v>235.42779999999999</v>
      </c>
      <c r="BI14">
        <f t="shared" si="7"/>
        <v>235.7158</v>
      </c>
      <c r="BJ14">
        <f t="shared" si="7"/>
        <v>236.0112</v>
      </c>
      <c r="BK14">
        <f t="shared" si="7"/>
        <v>236.31389999999999</v>
      </c>
      <c r="BL14">
        <f t="shared" si="7"/>
        <v>236.62379999999999</v>
      </c>
      <c r="BM14">
        <f t="shared" si="7"/>
        <v>236.9408</v>
      </c>
      <c r="BN14">
        <f t="shared" si="5"/>
        <v>237.26499999999999</v>
      </c>
      <c r="BO14">
        <f t="shared" si="5"/>
        <v>237.596</v>
      </c>
      <c r="BP14">
        <f t="shared" si="5"/>
        <v>237.934</v>
      </c>
      <c r="BQ14">
        <f t="shared" si="5"/>
        <v>238.27869999999999</v>
      </c>
      <c r="BR14">
        <f t="shared" si="5"/>
        <v>238.63</v>
      </c>
      <c r="BS14">
        <f t="shared" si="5"/>
        <v>238.988</v>
      </c>
      <c r="BT14">
        <f t="shared" si="5"/>
        <v>239.35239999999999</v>
      </c>
      <c r="BU14">
        <f t="shared" si="5"/>
        <v>239.72329999999999</v>
      </c>
      <c r="BV14">
        <f t="shared" si="5"/>
        <v>240.1003</v>
      </c>
      <c r="BW14">
        <f t="shared" si="5"/>
        <v>240.4836</v>
      </c>
      <c r="BX14">
        <f t="shared" si="5"/>
        <v>240.87289999999999</v>
      </c>
      <c r="BY14">
        <f t="shared" si="5"/>
        <v>241.26820000000001</v>
      </c>
      <c r="BZ14">
        <f t="shared" si="5"/>
        <v>241.66929999999999</v>
      </c>
      <c r="CA14">
        <f t="shared" si="5"/>
        <v>242.0762</v>
      </c>
      <c r="CB14">
        <f t="shared" si="5"/>
        <v>242.4888</v>
      </c>
      <c r="CC14">
        <f t="shared" si="5"/>
        <v>242.9068</v>
      </c>
      <c r="CD14">
        <f t="shared" si="5"/>
        <v>243.33029999999999</v>
      </c>
      <c r="CE14">
        <f t="shared" si="5"/>
        <v>243.75909999999999</v>
      </c>
      <c r="CF14">
        <f t="shared" si="5"/>
        <v>244.19309999999999</v>
      </c>
      <c r="CG14">
        <f t="shared" si="5"/>
        <v>244.63220000000001</v>
      </c>
      <c r="CH14">
        <f t="shared" si="5"/>
        <v>245.0763</v>
      </c>
      <c r="CI14">
        <f t="shared" si="5"/>
        <v>245.52520000000001</v>
      </c>
      <c r="CJ14">
        <f t="shared" si="5"/>
        <v>245.97890000000001</v>
      </c>
      <c r="CK14">
        <f t="shared" si="5"/>
        <v>246.43719999999999</v>
      </c>
      <c r="CL14">
        <f t="shared" si="5"/>
        <v>246.9</v>
      </c>
      <c r="CM14">
        <f t="shared" si="5"/>
        <v>247.3673</v>
      </c>
      <c r="CN14">
        <f t="shared" si="5"/>
        <v>247.83879999999999</v>
      </c>
      <c r="CO14">
        <f t="shared" si="5"/>
        <v>248.31450000000001</v>
      </c>
      <c r="CP14">
        <f t="shared" si="5"/>
        <v>248.79429999999999</v>
      </c>
      <c r="CQ14">
        <f t="shared" si="5"/>
        <v>249.27799999999999</v>
      </c>
      <c r="CR14">
        <f t="shared" si="5"/>
        <v>249.7655</v>
      </c>
      <c r="CS14">
        <f t="shared" si="5"/>
        <v>250.2567</v>
      </c>
      <c r="CT14">
        <f t="shared" si="5"/>
        <v>250.75149999999999</v>
      </c>
      <c r="CU14">
        <f t="shared" si="5"/>
        <v>251.24979999999999</v>
      </c>
      <c r="CV14">
        <f t="shared" si="5"/>
        <v>251.75139999999999</v>
      </c>
      <c r="CW14">
        <f t="shared" si="5"/>
        <v>252.25630000000001</v>
      </c>
    </row>
    <row r="16" spans="1:101" x14ac:dyDescent="0.3">
      <c r="A16">
        <f>0.1</f>
        <v>0.1</v>
      </c>
      <c r="B16">
        <f>A16+0.1</f>
        <v>0.2</v>
      </c>
      <c r="C16">
        <f t="shared" ref="C16:BN16" si="8">B16+0.1</f>
        <v>0.30000000000000004</v>
      </c>
      <c r="D16">
        <f t="shared" si="8"/>
        <v>0.4</v>
      </c>
      <c r="E16">
        <f t="shared" si="8"/>
        <v>0.5</v>
      </c>
      <c r="F16">
        <f t="shared" si="8"/>
        <v>0.6</v>
      </c>
      <c r="G16">
        <f t="shared" si="8"/>
        <v>0.7</v>
      </c>
      <c r="H16">
        <f t="shared" si="8"/>
        <v>0.79999999999999993</v>
      </c>
      <c r="I16">
        <f t="shared" si="8"/>
        <v>0.89999999999999991</v>
      </c>
      <c r="J16">
        <f t="shared" si="8"/>
        <v>0.99999999999999989</v>
      </c>
      <c r="K16">
        <f t="shared" si="8"/>
        <v>1.0999999999999999</v>
      </c>
      <c r="L16">
        <f t="shared" si="8"/>
        <v>1.2</v>
      </c>
      <c r="M16">
        <f t="shared" si="8"/>
        <v>1.3</v>
      </c>
      <c r="N16">
        <f t="shared" si="8"/>
        <v>1.4000000000000001</v>
      </c>
      <c r="O16">
        <f t="shared" si="8"/>
        <v>1.5000000000000002</v>
      </c>
      <c r="P16">
        <f t="shared" si="8"/>
        <v>1.6000000000000003</v>
      </c>
      <c r="Q16">
        <f t="shared" si="8"/>
        <v>1.7000000000000004</v>
      </c>
      <c r="R16">
        <f t="shared" si="8"/>
        <v>1.8000000000000005</v>
      </c>
      <c r="S16">
        <f t="shared" si="8"/>
        <v>1.9000000000000006</v>
      </c>
      <c r="T16">
        <f t="shared" si="8"/>
        <v>2.0000000000000004</v>
      </c>
      <c r="U16">
        <f t="shared" si="8"/>
        <v>2.1000000000000005</v>
      </c>
      <c r="V16">
        <f t="shared" si="8"/>
        <v>2.2000000000000006</v>
      </c>
      <c r="W16">
        <f t="shared" si="8"/>
        <v>2.3000000000000007</v>
      </c>
      <c r="X16">
        <f t="shared" si="8"/>
        <v>2.4000000000000008</v>
      </c>
      <c r="Y16">
        <f t="shared" si="8"/>
        <v>2.5000000000000009</v>
      </c>
      <c r="Z16">
        <f t="shared" si="8"/>
        <v>2.600000000000001</v>
      </c>
      <c r="AA16">
        <f t="shared" si="8"/>
        <v>2.7000000000000011</v>
      </c>
      <c r="AB16">
        <f t="shared" si="8"/>
        <v>2.8000000000000012</v>
      </c>
      <c r="AC16">
        <f t="shared" si="8"/>
        <v>2.9000000000000012</v>
      </c>
      <c r="AD16">
        <f t="shared" si="8"/>
        <v>3.0000000000000013</v>
      </c>
      <c r="AE16">
        <f t="shared" si="8"/>
        <v>3.1000000000000014</v>
      </c>
      <c r="AF16">
        <f t="shared" si="8"/>
        <v>3.2000000000000015</v>
      </c>
      <c r="AG16">
        <f t="shared" si="8"/>
        <v>3.3000000000000016</v>
      </c>
      <c r="AH16">
        <f t="shared" si="8"/>
        <v>3.4000000000000017</v>
      </c>
      <c r="AI16">
        <f t="shared" si="8"/>
        <v>3.5000000000000018</v>
      </c>
      <c r="AJ16">
        <f t="shared" si="8"/>
        <v>3.6000000000000019</v>
      </c>
      <c r="AK16">
        <f t="shared" si="8"/>
        <v>3.700000000000002</v>
      </c>
      <c r="AL16">
        <f t="shared" si="8"/>
        <v>3.800000000000002</v>
      </c>
      <c r="AM16">
        <f t="shared" si="8"/>
        <v>3.9000000000000021</v>
      </c>
      <c r="AN16">
        <f t="shared" si="8"/>
        <v>4.0000000000000018</v>
      </c>
      <c r="AO16">
        <f t="shared" si="8"/>
        <v>4.1000000000000014</v>
      </c>
      <c r="AP16">
        <f t="shared" si="8"/>
        <v>4.2000000000000011</v>
      </c>
      <c r="AQ16">
        <f t="shared" si="8"/>
        <v>4.3000000000000007</v>
      </c>
      <c r="AR16">
        <f t="shared" si="8"/>
        <v>4.4000000000000004</v>
      </c>
      <c r="AS16">
        <f t="shared" si="8"/>
        <v>4.5</v>
      </c>
      <c r="AT16">
        <f t="shared" si="8"/>
        <v>4.5999999999999996</v>
      </c>
      <c r="AU16">
        <f t="shared" si="8"/>
        <v>4.6999999999999993</v>
      </c>
      <c r="AV16">
        <f t="shared" si="8"/>
        <v>4.7999999999999989</v>
      </c>
      <c r="AW16">
        <f t="shared" si="8"/>
        <v>4.8999999999999986</v>
      </c>
      <c r="AX16">
        <f t="shared" si="8"/>
        <v>4.9999999999999982</v>
      </c>
      <c r="AY16">
        <f t="shared" si="8"/>
        <v>5.0999999999999979</v>
      </c>
      <c r="AZ16">
        <f t="shared" si="8"/>
        <v>5.1999999999999975</v>
      </c>
      <c r="BA16">
        <f t="shared" si="8"/>
        <v>5.2999999999999972</v>
      </c>
      <c r="BB16">
        <f t="shared" si="8"/>
        <v>5.3999999999999968</v>
      </c>
      <c r="BC16">
        <f t="shared" si="8"/>
        <v>5.4999999999999964</v>
      </c>
      <c r="BD16">
        <f t="shared" si="8"/>
        <v>5.5999999999999961</v>
      </c>
      <c r="BE16">
        <f t="shared" si="8"/>
        <v>5.6999999999999957</v>
      </c>
      <c r="BF16">
        <f t="shared" si="8"/>
        <v>5.7999999999999954</v>
      </c>
      <c r="BG16">
        <f t="shared" si="8"/>
        <v>5.899999999999995</v>
      </c>
      <c r="BH16">
        <f t="shared" si="8"/>
        <v>5.9999999999999947</v>
      </c>
      <c r="BI16">
        <f t="shared" si="8"/>
        <v>6.0999999999999943</v>
      </c>
      <c r="BJ16">
        <f t="shared" si="8"/>
        <v>6.199999999999994</v>
      </c>
      <c r="BK16">
        <f t="shared" si="8"/>
        <v>6.2999999999999936</v>
      </c>
      <c r="BL16">
        <f t="shared" si="8"/>
        <v>6.3999999999999932</v>
      </c>
      <c r="BM16">
        <f t="shared" si="8"/>
        <v>6.4999999999999929</v>
      </c>
      <c r="BN16">
        <f t="shared" si="8"/>
        <v>6.5999999999999925</v>
      </c>
      <c r="BO16">
        <f t="shared" ref="BO16:CW16" si="9">BN16+0.1</f>
        <v>6.6999999999999922</v>
      </c>
      <c r="BP16">
        <f t="shared" si="9"/>
        <v>6.7999999999999918</v>
      </c>
      <c r="BQ16">
        <f t="shared" si="9"/>
        <v>6.8999999999999915</v>
      </c>
      <c r="BR16">
        <f t="shared" si="9"/>
        <v>6.9999999999999911</v>
      </c>
      <c r="BS16">
        <f t="shared" si="9"/>
        <v>7.0999999999999908</v>
      </c>
      <c r="BT16">
        <f t="shared" si="9"/>
        <v>7.1999999999999904</v>
      </c>
      <c r="BU16">
        <f t="shared" si="9"/>
        <v>7.2999999999999901</v>
      </c>
      <c r="BV16">
        <f t="shared" si="9"/>
        <v>7.3999999999999897</v>
      </c>
      <c r="BW16">
        <f t="shared" si="9"/>
        <v>7.4999999999999893</v>
      </c>
      <c r="BX16">
        <f t="shared" si="9"/>
        <v>7.599999999999989</v>
      </c>
      <c r="BY16">
        <f t="shared" si="9"/>
        <v>7.6999999999999886</v>
      </c>
      <c r="BZ16">
        <f t="shared" si="9"/>
        <v>7.7999999999999883</v>
      </c>
      <c r="CA16">
        <f t="shared" si="9"/>
        <v>7.8999999999999879</v>
      </c>
      <c r="CB16">
        <f t="shared" si="9"/>
        <v>7.9999999999999876</v>
      </c>
      <c r="CC16">
        <f t="shared" si="9"/>
        <v>8.0999999999999872</v>
      </c>
      <c r="CD16">
        <f t="shared" si="9"/>
        <v>8.1999999999999869</v>
      </c>
      <c r="CE16">
        <f t="shared" si="9"/>
        <v>8.2999999999999865</v>
      </c>
      <c r="CF16">
        <f t="shared" si="9"/>
        <v>8.3999999999999861</v>
      </c>
      <c r="CG16">
        <f t="shared" si="9"/>
        <v>8.4999999999999858</v>
      </c>
      <c r="CH16">
        <f t="shared" si="9"/>
        <v>8.5999999999999854</v>
      </c>
      <c r="CI16">
        <f t="shared" si="9"/>
        <v>8.6999999999999851</v>
      </c>
      <c r="CJ16">
        <f t="shared" si="9"/>
        <v>8.7999999999999847</v>
      </c>
      <c r="CK16">
        <f t="shared" si="9"/>
        <v>8.8999999999999844</v>
      </c>
      <c r="CL16">
        <f t="shared" si="9"/>
        <v>8.999999999999984</v>
      </c>
      <c r="CM16">
        <f t="shared" si="9"/>
        <v>9.0999999999999837</v>
      </c>
      <c r="CN16">
        <f t="shared" si="9"/>
        <v>9.1999999999999833</v>
      </c>
      <c r="CO16">
        <f t="shared" si="9"/>
        <v>9.2999999999999829</v>
      </c>
      <c r="CP16">
        <f t="shared" si="9"/>
        <v>9.3999999999999826</v>
      </c>
      <c r="CQ16">
        <f t="shared" si="9"/>
        <v>9.4999999999999822</v>
      </c>
      <c r="CR16">
        <f t="shared" si="9"/>
        <v>9.5999999999999819</v>
      </c>
      <c r="CS16">
        <f t="shared" si="9"/>
        <v>9.6999999999999815</v>
      </c>
      <c r="CT16">
        <f t="shared" si="9"/>
        <v>9.7999999999999812</v>
      </c>
      <c r="CU16">
        <f t="shared" si="9"/>
        <v>9.8999999999999808</v>
      </c>
      <c r="CV16">
        <f t="shared" si="9"/>
        <v>9.9999999999999805</v>
      </c>
      <c r="CW16">
        <f t="shared" si="9"/>
        <v>10.09999999999998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49E8-4CEF-466D-BD10-113632051DDA}">
  <dimension ref="A1:CW14"/>
  <sheetViews>
    <sheetView topLeftCell="R13" workbookViewId="0">
      <selection activeCell="AF30" sqref="AF30"/>
    </sheetView>
  </sheetViews>
  <sheetFormatPr defaultRowHeight="14.4" x14ac:dyDescent="0.3"/>
  <cols>
    <col min="1" max="9" width="11.21875" bestFit="1" customWidth="1"/>
    <col min="10" max="49" width="11.88671875" bestFit="1" customWidth="1"/>
    <col min="50" max="50" width="13" bestFit="1" customWidth="1"/>
    <col min="51" max="99" width="11.88671875" bestFit="1" customWidth="1"/>
    <col min="100" max="101" width="12.88671875" bestFit="1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1957</v>
      </c>
      <c r="B2" t="s">
        <v>1958</v>
      </c>
      <c r="C2" t="s">
        <v>1959</v>
      </c>
      <c r="D2" t="s">
        <v>1960</v>
      </c>
      <c r="E2" t="s">
        <v>1961</v>
      </c>
      <c r="F2" t="s">
        <v>1962</v>
      </c>
      <c r="G2" t="s">
        <v>1963</v>
      </c>
      <c r="H2" t="s">
        <v>1964</v>
      </c>
      <c r="I2" t="s">
        <v>1965</v>
      </c>
      <c r="J2" t="s">
        <v>1966</v>
      </c>
      <c r="K2" t="s">
        <v>1967</v>
      </c>
      <c r="L2" t="s">
        <v>1968</v>
      </c>
      <c r="M2" t="s">
        <v>1969</v>
      </c>
      <c r="N2" t="s">
        <v>1970</v>
      </c>
      <c r="O2" t="s">
        <v>1971</v>
      </c>
      <c r="P2" t="s">
        <v>1972</v>
      </c>
      <c r="Q2" t="s">
        <v>1973</v>
      </c>
      <c r="R2" t="s">
        <v>1974</v>
      </c>
      <c r="S2" t="s">
        <v>1975</v>
      </c>
      <c r="T2" t="s">
        <v>1976</v>
      </c>
      <c r="U2" t="s">
        <v>1977</v>
      </c>
      <c r="V2" t="s">
        <v>1978</v>
      </c>
      <c r="W2" t="s">
        <v>1979</v>
      </c>
      <c r="X2" t="s">
        <v>1980</v>
      </c>
      <c r="Y2" t="s">
        <v>1981</v>
      </c>
      <c r="Z2" t="s">
        <v>1982</v>
      </c>
      <c r="AA2" t="s">
        <v>1983</v>
      </c>
      <c r="AB2" t="s">
        <v>1984</v>
      </c>
      <c r="AC2" t="s">
        <v>1985</v>
      </c>
      <c r="AD2" t="s">
        <v>1986</v>
      </c>
      <c r="AE2" t="s">
        <v>1987</v>
      </c>
      <c r="AF2" t="s">
        <v>1988</v>
      </c>
      <c r="AG2" t="s">
        <v>1989</v>
      </c>
      <c r="AH2" t="s">
        <v>1990</v>
      </c>
      <c r="AI2" t="s">
        <v>1991</v>
      </c>
      <c r="AJ2" t="s">
        <v>1992</v>
      </c>
      <c r="AK2" t="s">
        <v>1993</v>
      </c>
      <c r="AL2" t="s">
        <v>1994</v>
      </c>
      <c r="AM2" t="s">
        <v>1995</v>
      </c>
      <c r="AN2" t="s">
        <v>1996</v>
      </c>
      <c r="AO2" t="s">
        <v>1997</v>
      </c>
      <c r="AP2" t="s">
        <v>1998</v>
      </c>
      <c r="AQ2" t="s">
        <v>1999</v>
      </c>
      <c r="AR2" t="s">
        <v>2000</v>
      </c>
      <c r="AS2" t="s">
        <v>2001</v>
      </c>
      <c r="AT2" t="s">
        <v>2002</v>
      </c>
      <c r="AU2" t="s">
        <v>2003</v>
      </c>
      <c r="AV2" t="s">
        <v>2004</v>
      </c>
      <c r="AW2" t="s">
        <v>2005</v>
      </c>
      <c r="AX2" t="s">
        <v>2006</v>
      </c>
      <c r="AY2" t="s">
        <v>2007</v>
      </c>
      <c r="AZ2" t="s">
        <v>2008</v>
      </c>
      <c r="BA2" t="s">
        <v>2009</v>
      </c>
      <c r="BB2" t="s">
        <v>2010</v>
      </c>
      <c r="BC2" t="s">
        <v>2011</v>
      </c>
      <c r="BD2" t="s">
        <v>2012</v>
      </c>
      <c r="BE2" t="s">
        <v>2013</v>
      </c>
      <c r="BF2" t="s">
        <v>2014</v>
      </c>
      <c r="BG2" t="s">
        <v>2015</v>
      </c>
      <c r="BH2" t="s">
        <v>2016</v>
      </c>
      <c r="BI2" t="s">
        <v>2017</v>
      </c>
      <c r="BJ2" t="s">
        <v>2018</v>
      </c>
      <c r="BK2" t="s">
        <v>2019</v>
      </c>
      <c r="BL2" t="s">
        <v>2020</v>
      </c>
      <c r="BM2" t="s">
        <v>2021</v>
      </c>
      <c r="BN2" t="s">
        <v>2022</v>
      </c>
      <c r="BO2" t="s">
        <v>2023</v>
      </c>
      <c r="BP2" t="s">
        <v>2024</v>
      </c>
      <c r="BQ2" t="s">
        <v>2025</v>
      </c>
      <c r="BR2" t="s">
        <v>2026</v>
      </c>
      <c r="BS2" t="s">
        <v>2027</v>
      </c>
      <c r="BT2" t="s">
        <v>2028</v>
      </c>
      <c r="BU2" t="s">
        <v>2029</v>
      </c>
      <c r="BV2" t="s">
        <v>2030</v>
      </c>
      <c r="BW2" t="s">
        <v>2031</v>
      </c>
      <c r="BX2" t="s">
        <v>2032</v>
      </c>
      <c r="BY2" t="s">
        <v>2033</v>
      </c>
      <c r="BZ2" t="s">
        <v>2034</v>
      </c>
      <c r="CA2" t="s">
        <v>2035</v>
      </c>
      <c r="CB2" t="s">
        <v>2036</v>
      </c>
      <c r="CC2" t="s">
        <v>2037</v>
      </c>
      <c r="CD2" t="s">
        <v>2038</v>
      </c>
      <c r="CE2" t="s">
        <v>2039</v>
      </c>
      <c r="CF2" t="s">
        <v>2040</v>
      </c>
      <c r="CG2" t="s">
        <v>2041</v>
      </c>
      <c r="CH2" t="s">
        <v>2042</v>
      </c>
      <c r="CI2" t="s">
        <v>2043</v>
      </c>
      <c r="CJ2" t="s">
        <v>2044</v>
      </c>
      <c r="CK2" t="s">
        <v>2045</v>
      </c>
      <c r="CL2" t="s">
        <v>2046</v>
      </c>
      <c r="CM2" t="s">
        <v>2047</v>
      </c>
      <c r="CN2" t="s">
        <v>2048</v>
      </c>
      <c r="CO2" t="s">
        <v>2049</v>
      </c>
      <c r="CP2" t="s">
        <v>2050</v>
      </c>
      <c r="CQ2" t="s">
        <v>2051</v>
      </c>
      <c r="CR2" t="s">
        <v>2340</v>
      </c>
      <c r="CS2" t="s">
        <v>2341</v>
      </c>
      <c r="CT2" t="s">
        <v>2342</v>
      </c>
      <c r="CU2" t="s">
        <v>2343</v>
      </c>
      <c r="CV2" t="s">
        <v>2344</v>
      </c>
      <c r="CW2" t="s">
        <v>2345</v>
      </c>
    </row>
    <row r="3" spans="1:101" x14ac:dyDescent="0.3">
      <c r="A3" t="s">
        <v>2346</v>
      </c>
      <c r="B3" t="s">
        <v>2347</v>
      </c>
      <c r="C3" t="s">
        <v>2348</v>
      </c>
      <c r="D3" t="s">
        <v>2349</v>
      </c>
      <c r="E3" t="s">
        <v>2350</v>
      </c>
      <c r="F3" t="s">
        <v>2351</v>
      </c>
      <c r="G3" t="s">
        <v>2352</v>
      </c>
      <c r="H3" t="s">
        <v>2353</v>
      </c>
      <c r="I3" t="s">
        <v>2354</v>
      </c>
      <c r="J3" t="s">
        <v>2355</v>
      </c>
      <c r="K3" t="s">
        <v>2356</v>
      </c>
      <c r="L3" t="s">
        <v>2357</v>
      </c>
      <c r="M3" t="s">
        <v>2358</v>
      </c>
      <c r="N3" t="s">
        <v>2359</v>
      </c>
      <c r="O3" t="s">
        <v>2360</v>
      </c>
      <c r="P3" t="s">
        <v>2361</v>
      </c>
      <c r="Q3" t="s">
        <v>2362</v>
      </c>
      <c r="R3" t="s">
        <v>2363</v>
      </c>
      <c r="S3" t="s">
        <v>2364</v>
      </c>
      <c r="T3" t="s">
        <v>2365</v>
      </c>
      <c r="U3" t="s">
        <v>2366</v>
      </c>
      <c r="V3" t="s">
        <v>2367</v>
      </c>
      <c r="W3" t="s">
        <v>2368</v>
      </c>
      <c r="X3" t="s">
        <v>2369</v>
      </c>
      <c r="Y3" t="s">
        <v>2370</v>
      </c>
      <c r="Z3" t="s">
        <v>2371</v>
      </c>
      <c r="AA3" t="s">
        <v>2372</v>
      </c>
      <c r="AB3" t="s">
        <v>2373</v>
      </c>
      <c r="AC3" t="s">
        <v>2374</v>
      </c>
      <c r="AD3" t="s">
        <v>2375</v>
      </c>
      <c r="AE3" t="s">
        <v>2376</v>
      </c>
      <c r="AF3" t="s">
        <v>2377</v>
      </c>
      <c r="AG3" t="s">
        <v>2378</v>
      </c>
      <c r="AH3" t="s">
        <v>2379</v>
      </c>
      <c r="AI3" t="s">
        <v>2380</v>
      </c>
      <c r="AJ3" t="s">
        <v>2381</v>
      </c>
      <c r="AK3" t="s">
        <v>2382</v>
      </c>
      <c r="AL3" t="s">
        <v>2383</v>
      </c>
      <c r="AM3" t="s">
        <v>2384</v>
      </c>
      <c r="AN3" t="s">
        <v>2385</v>
      </c>
      <c r="AO3" t="s">
        <v>2386</v>
      </c>
      <c r="AP3" t="s">
        <v>2387</v>
      </c>
      <c r="AQ3" t="s">
        <v>2388</v>
      </c>
      <c r="AR3" t="s">
        <v>2389</v>
      </c>
      <c r="AS3" t="s">
        <v>2390</v>
      </c>
      <c r="AT3" t="s">
        <v>2391</v>
      </c>
      <c r="AU3" t="s">
        <v>2392</v>
      </c>
      <c r="AV3" t="s">
        <v>2393</v>
      </c>
      <c r="AW3" t="s">
        <v>2394</v>
      </c>
      <c r="AX3" t="s">
        <v>2395</v>
      </c>
      <c r="AY3" t="s">
        <v>2396</v>
      </c>
      <c r="AZ3" t="s">
        <v>2397</v>
      </c>
      <c r="BA3" t="s">
        <v>2398</v>
      </c>
      <c r="BB3" t="s">
        <v>2399</v>
      </c>
      <c r="BC3" t="s">
        <v>2400</v>
      </c>
      <c r="BD3" t="s">
        <v>2401</v>
      </c>
      <c r="BE3" t="s">
        <v>2402</v>
      </c>
      <c r="BF3" t="s">
        <v>2403</v>
      </c>
      <c r="BG3" t="s">
        <v>2404</v>
      </c>
      <c r="BH3" t="s">
        <v>2405</v>
      </c>
      <c r="BI3" t="s">
        <v>2406</v>
      </c>
      <c r="BJ3" t="s">
        <v>2407</v>
      </c>
      <c r="BK3" t="s">
        <v>2408</v>
      </c>
      <c r="BL3" t="s">
        <v>2409</v>
      </c>
      <c r="BM3" t="s">
        <v>2410</v>
      </c>
      <c r="BN3" t="s">
        <v>2411</v>
      </c>
      <c r="BO3" t="s">
        <v>2412</v>
      </c>
      <c r="BP3" t="s">
        <v>2413</v>
      </c>
      <c r="BQ3" t="s">
        <v>2414</v>
      </c>
      <c r="BR3" t="s">
        <v>2415</v>
      </c>
      <c r="BS3" t="s">
        <v>2416</v>
      </c>
      <c r="BT3" t="s">
        <v>2417</v>
      </c>
      <c r="BU3" t="s">
        <v>2418</v>
      </c>
      <c r="BV3" t="s">
        <v>2419</v>
      </c>
      <c r="BW3" t="s">
        <v>2420</v>
      </c>
      <c r="BX3" t="s">
        <v>2421</v>
      </c>
      <c r="BY3" t="s">
        <v>2422</v>
      </c>
      <c r="BZ3" t="s">
        <v>2423</v>
      </c>
      <c r="CA3" t="s">
        <v>2424</v>
      </c>
      <c r="CB3" t="s">
        <v>2425</v>
      </c>
      <c r="CC3" t="s">
        <v>2426</v>
      </c>
      <c r="CD3" t="s">
        <v>2427</v>
      </c>
      <c r="CE3" t="s">
        <v>2428</v>
      </c>
      <c r="CF3" t="s">
        <v>2429</v>
      </c>
      <c r="CG3" t="s">
        <v>2430</v>
      </c>
      <c r="CH3" t="s">
        <v>2431</v>
      </c>
      <c r="CI3" t="s">
        <v>2432</v>
      </c>
      <c r="CJ3" t="s">
        <v>2433</v>
      </c>
      <c r="CK3" t="s">
        <v>2434</v>
      </c>
      <c r="CL3" t="s">
        <v>2435</v>
      </c>
      <c r="CM3" t="s">
        <v>2436</v>
      </c>
      <c r="CN3" t="s">
        <v>2437</v>
      </c>
      <c r="CO3" t="s">
        <v>2438</v>
      </c>
      <c r="CP3" t="s">
        <v>2439</v>
      </c>
      <c r="CQ3" t="s">
        <v>2440</v>
      </c>
      <c r="CR3" t="s">
        <v>2441</v>
      </c>
      <c r="CS3" t="s">
        <v>2442</v>
      </c>
      <c r="CT3" t="s">
        <v>2443</v>
      </c>
      <c r="CU3" t="s">
        <v>2444</v>
      </c>
      <c r="CV3" t="s">
        <v>2445</v>
      </c>
      <c r="CW3" t="s">
        <v>2446</v>
      </c>
    </row>
    <row r="4" spans="1:101" x14ac:dyDescent="0.3">
      <c r="A4" t="s">
        <v>2447</v>
      </c>
      <c r="B4" t="s">
        <v>2448</v>
      </c>
      <c r="C4" t="s">
        <v>2449</v>
      </c>
      <c r="D4" t="s">
        <v>2450</v>
      </c>
      <c r="E4" t="s">
        <v>2451</v>
      </c>
      <c r="F4" t="s">
        <v>2452</v>
      </c>
      <c r="G4" t="s">
        <v>2453</v>
      </c>
      <c r="H4" t="s">
        <v>2454</v>
      </c>
      <c r="I4" t="s">
        <v>2455</v>
      </c>
      <c r="J4" t="s">
        <v>2456</v>
      </c>
      <c r="K4" t="s">
        <v>2457</v>
      </c>
      <c r="L4" t="s">
        <v>2458</v>
      </c>
      <c r="M4" t="s">
        <v>2459</v>
      </c>
      <c r="N4" t="s">
        <v>2460</v>
      </c>
      <c r="O4" t="s">
        <v>2461</v>
      </c>
      <c r="P4" t="s">
        <v>2462</v>
      </c>
      <c r="Q4" t="s">
        <v>2463</v>
      </c>
      <c r="R4" t="s">
        <v>2464</v>
      </c>
      <c r="S4" t="s">
        <v>2465</v>
      </c>
      <c r="T4" t="s">
        <v>2466</v>
      </c>
      <c r="U4" t="s">
        <v>2467</v>
      </c>
      <c r="V4" t="s">
        <v>2468</v>
      </c>
      <c r="W4" t="s">
        <v>2469</v>
      </c>
      <c r="X4" t="s">
        <v>2470</v>
      </c>
      <c r="Y4" t="s">
        <v>2471</v>
      </c>
      <c r="Z4" t="s">
        <v>2472</v>
      </c>
      <c r="AA4" t="s">
        <v>2473</v>
      </c>
      <c r="AB4" t="s">
        <v>2474</v>
      </c>
      <c r="AC4" t="s">
        <v>2475</v>
      </c>
      <c r="AD4" t="s">
        <v>2476</v>
      </c>
      <c r="AE4" t="s">
        <v>2477</v>
      </c>
      <c r="AF4" t="s">
        <v>2478</v>
      </c>
      <c r="AG4" t="s">
        <v>2479</v>
      </c>
      <c r="AH4" t="s">
        <v>2480</v>
      </c>
      <c r="AI4" t="s">
        <v>2481</v>
      </c>
      <c r="AJ4" t="s">
        <v>2482</v>
      </c>
      <c r="AK4" t="s">
        <v>2483</v>
      </c>
      <c r="AL4" t="s">
        <v>2484</v>
      </c>
      <c r="AM4" t="s">
        <v>2485</v>
      </c>
      <c r="AN4" t="s">
        <v>2486</v>
      </c>
      <c r="AO4" t="s">
        <v>2487</v>
      </c>
      <c r="AP4" t="s">
        <v>2488</v>
      </c>
      <c r="AQ4" t="s">
        <v>2489</v>
      </c>
      <c r="AR4" t="s">
        <v>2490</v>
      </c>
      <c r="AS4" t="s">
        <v>2491</v>
      </c>
      <c r="AT4" t="s">
        <v>2492</v>
      </c>
      <c r="AU4" t="s">
        <v>2493</v>
      </c>
      <c r="AV4" t="s">
        <v>2494</v>
      </c>
      <c r="AW4" t="s">
        <v>2495</v>
      </c>
      <c r="AX4" t="s">
        <v>2496</v>
      </c>
      <c r="AY4" t="s">
        <v>2196</v>
      </c>
      <c r="AZ4" t="s">
        <v>2497</v>
      </c>
      <c r="BA4" t="s">
        <v>2498</v>
      </c>
      <c r="BB4" t="s">
        <v>2499</v>
      </c>
      <c r="BC4" t="s">
        <v>2500</v>
      </c>
      <c r="BD4" t="s">
        <v>2501</v>
      </c>
      <c r="BE4" t="s">
        <v>2502</v>
      </c>
      <c r="BF4" t="s">
        <v>2503</v>
      </c>
      <c r="BG4" t="s">
        <v>2504</v>
      </c>
      <c r="BH4" t="s">
        <v>2505</v>
      </c>
      <c r="BI4" t="s">
        <v>2506</v>
      </c>
      <c r="BJ4" t="s">
        <v>2507</v>
      </c>
      <c r="BK4" t="s">
        <v>2508</v>
      </c>
      <c r="BL4" t="s">
        <v>2509</v>
      </c>
      <c r="BM4" t="s">
        <v>2510</v>
      </c>
      <c r="BN4" t="s">
        <v>2511</v>
      </c>
      <c r="BO4" t="s">
        <v>2512</v>
      </c>
      <c r="BP4" t="s">
        <v>2513</v>
      </c>
      <c r="BQ4" t="s">
        <v>2514</v>
      </c>
      <c r="BR4" t="s">
        <v>2515</v>
      </c>
      <c r="BS4" t="s">
        <v>2516</v>
      </c>
      <c r="BT4" t="s">
        <v>2517</v>
      </c>
      <c r="BU4" t="s">
        <v>2518</v>
      </c>
      <c r="BV4" t="s">
        <v>2519</v>
      </c>
      <c r="BW4" t="s">
        <v>2520</v>
      </c>
      <c r="BX4" t="s">
        <v>2521</v>
      </c>
      <c r="BY4" t="s">
        <v>2522</v>
      </c>
      <c r="BZ4" t="s">
        <v>2523</v>
      </c>
      <c r="CA4" t="s">
        <v>2524</v>
      </c>
      <c r="CB4" t="s">
        <v>2525</v>
      </c>
      <c r="CC4" t="s">
        <v>2526</v>
      </c>
      <c r="CD4" t="s">
        <v>2527</v>
      </c>
      <c r="CE4" t="s">
        <v>2528</v>
      </c>
      <c r="CF4" t="s">
        <v>2529</v>
      </c>
      <c r="CG4" t="s">
        <v>2530</v>
      </c>
      <c r="CH4" t="s">
        <v>2531</v>
      </c>
      <c r="CI4" t="s">
        <v>2532</v>
      </c>
      <c r="CJ4" t="s">
        <v>2533</v>
      </c>
      <c r="CK4" t="s">
        <v>2534</v>
      </c>
      <c r="CL4" t="s">
        <v>2535</v>
      </c>
      <c r="CM4" t="s">
        <v>2536</v>
      </c>
      <c r="CN4" t="s">
        <v>2537</v>
      </c>
      <c r="CO4" t="s">
        <v>2538</v>
      </c>
      <c r="CP4" t="s">
        <v>2539</v>
      </c>
      <c r="CQ4" t="s">
        <v>2540</v>
      </c>
      <c r="CR4" t="s">
        <v>2541</v>
      </c>
      <c r="CS4" t="s">
        <v>2542</v>
      </c>
      <c r="CT4" t="s">
        <v>2543</v>
      </c>
      <c r="CU4" t="s">
        <v>2544</v>
      </c>
      <c r="CV4" t="s">
        <v>2545</v>
      </c>
      <c r="CW4" t="s">
        <v>2546</v>
      </c>
    </row>
    <row r="5" spans="1:101" x14ac:dyDescent="0.3">
      <c r="A5" t="s">
        <v>2547</v>
      </c>
      <c r="B5" t="s">
        <v>2548</v>
      </c>
      <c r="C5" t="s">
        <v>2549</v>
      </c>
      <c r="D5" t="s">
        <v>2550</v>
      </c>
      <c r="E5" t="s">
        <v>2542</v>
      </c>
      <c r="F5" t="s">
        <v>2551</v>
      </c>
      <c r="G5" t="s">
        <v>2540</v>
      </c>
      <c r="H5" t="s">
        <v>2552</v>
      </c>
      <c r="I5" t="s">
        <v>2553</v>
      </c>
      <c r="J5" t="s">
        <v>2554</v>
      </c>
      <c r="K5" t="s">
        <v>2555</v>
      </c>
      <c r="L5" t="s">
        <v>2556</v>
      </c>
      <c r="M5" t="s">
        <v>2557</v>
      </c>
      <c r="N5" t="s">
        <v>2533</v>
      </c>
      <c r="O5" t="s">
        <v>2532</v>
      </c>
      <c r="P5" t="s">
        <v>2558</v>
      </c>
      <c r="Q5" t="s">
        <v>2530</v>
      </c>
      <c r="R5" t="s">
        <v>2559</v>
      </c>
      <c r="S5" t="s">
        <v>2560</v>
      </c>
      <c r="T5" t="s">
        <v>2561</v>
      </c>
      <c r="U5" t="s">
        <v>2562</v>
      </c>
      <c r="V5" t="s">
        <v>2563</v>
      </c>
      <c r="W5" t="s">
        <v>2524</v>
      </c>
      <c r="X5" t="s">
        <v>2564</v>
      </c>
      <c r="Y5" t="s">
        <v>2522</v>
      </c>
      <c r="Z5" t="s">
        <v>2521</v>
      </c>
      <c r="AA5" t="s">
        <v>2565</v>
      </c>
      <c r="AB5" t="s">
        <v>2519</v>
      </c>
      <c r="AC5" t="s">
        <v>2518</v>
      </c>
      <c r="AD5" t="s">
        <v>2517</v>
      </c>
      <c r="AE5" t="s">
        <v>2566</v>
      </c>
      <c r="AF5" t="s">
        <v>2567</v>
      </c>
      <c r="AG5" t="s">
        <v>2514</v>
      </c>
      <c r="AH5" t="s">
        <v>2568</v>
      </c>
      <c r="AI5" t="s">
        <v>2512</v>
      </c>
      <c r="AJ5" t="s">
        <v>2569</v>
      </c>
      <c r="AK5" t="s">
        <v>2570</v>
      </c>
      <c r="AL5" t="s">
        <v>2571</v>
      </c>
      <c r="AM5" t="s">
        <v>2572</v>
      </c>
      <c r="AN5" t="s">
        <v>2573</v>
      </c>
      <c r="AO5" t="s">
        <v>2574</v>
      </c>
      <c r="AP5" t="s">
        <v>2575</v>
      </c>
      <c r="AQ5" t="s">
        <v>2576</v>
      </c>
      <c r="AR5" t="s">
        <v>2577</v>
      </c>
      <c r="AS5" t="s">
        <v>2578</v>
      </c>
      <c r="AT5" t="s">
        <v>2579</v>
      </c>
      <c r="AU5" t="s">
        <v>2500</v>
      </c>
      <c r="AV5" t="s">
        <v>2580</v>
      </c>
      <c r="AW5" t="s">
        <v>2498</v>
      </c>
      <c r="AX5" t="s">
        <v>2497</v>
      </c>
      <c r="AY5" t="s">
        <v>1267</v>
      </c>
      <c r="AZ5" t="s">
        <v>2496</v>
      </c>
      <c r="BA5" t="s">
        <v>2581</v>
      </c>
      <c r="BB5" t="s">
        <v>2582</v>
      </c>
      <c r="BC5" t="s">
        <v>2583</v>
      </c>
      <c r="BD5" t="s">
        <v>2584</v>
      </c>
      <c r="BE5" t="s">
        <v>2491</v>
      </c>
      <c r="BF5" t="s">
        <v>2490</v>
      </c>
      <c r="BG5" t="s">
        <v>2585</v>
      </c>
      <c r="BH5" t="s">
        <v>2586</v>
      </c>
      <c r="BI5" t="s">
        <v>2587</v>
      </c>
      <c r="BJ5" t="s">
        <v>2486</v>
      </c>
      <c r="BK5" t="s">
        <v>2485</v>
      </c>
      <c r="BL5" t="s">
        <v>2484</v>
      </c>
      <c r="BM5" t="s">
        <v>2588</v>
      </c>
      <c r="BN5" t="s">
        <v>2482</v>
      </c>
      <c r="BO5" t="s">
        <v>2481</v>
      </c>
      <c r="BP5" t="s">
        <v>2589</v>
      </c>
      <c r="BQ5" t="s">
        <v>2479</v>
      </c>
      <c r="BR5" t="s">
        <v>2590</v>
      </c>
      <c r="BS5" t="s">
        <v>2591</v>
      </c>
      <c r="BT5" t="s">
        <v>2476</v>
      </c>
      <c r="BU5" t="s">
        <v>2592</v>
      </c>
      <c r="BV5" t="s">
        <v>2474</v>
      </c>
      <c r="BW5" t="s">
        <v>2473</v>
      </c>
      <c r="BX5" t="s">
        <v>2472</v>
      </c>
      <c r="BY5" t="s">
        <v>2471</v>
      </c>
      <c r="BZ5" t="s">
        <v>2593</v>
      </c>
      <c r="CA5" t="s">
        <v>2594</v>
      </c>
      <c r="CB5" t="s">
        <v>2468</v>
      </c>
      <c r="CC5" t="s">
        <v>2467</v>
      </c>
      <c r="CD5" t="s">
        <v>2466</v>
      </c>
      <c r="CE5" t="s">
        <v>2595</v>
      </c>
      <c r="CF5" t="s">
        <v>2464</v>
      </c>
      <c r="CG5" t="s">
        <v>2596</v>
      </c>
      <c r="CH5" t="s">
        <v>2462</v>
      </c>
      <c r="CI5" t="s">
        <v>2597</v>
      </c>
      <c r="CJ5" t="s">
        <v>2598</v>
      </c>
      <c r="CK5" t="s">
        <v>2459</v>
      </c>
      <c r="CL5" t="s">
        <v>2458</v>
      </c>
      <c r="CM5" t="s">
        <v>2599</v>
      </c>
      <c r="CN5" t="s">
        <v>2456</v>
      </c>
      <c r="CO5" t="s">
        <v>2455</v>
      </c>
      <c r="CP5" t="s">
        <v>2600</v>
      </c>
      <c r="CQ5" t="s">
        <v>2453</v>
      </c>
      <c r="CR5" t="s">
        <v>2452</v>
      </c>
      <c r="CS5" t="s">
        <v>2451</v>
      </c>
      <c r="CT5" t="s">
        <v>2450</v>
      </c>
      <c r="CU5" t="s">
        <v>2449</v>
      </c>
      <c r="CV5" t="s">
        <v>2601</v>
      </c>
      <c r="CW5" t="s">
        <v>2602</v>
      </c>
    </row>
    <row r="6" spans="1:101" x14ac:dyDescent="0.3">
      <c r="A6" t="s">
        <v>2603</v>
      </c>
      <c r="B6" t="s">
        <v>2604</v>
      </c>
      <c r="C6" t="s">
        <v>2605</v>
      </c>
      <c r="D6" t="s">
        <v>2443</v>
      </c>
      <c r="E6" t="s">
        <v>2606</v>
      </c>
      <c r="F6" t="s">
        <v>2441</v>
      </c>
      <c r="G6" t="s">
        <v>2440</v>
      </c>
      <c r="H6" t="s">
        <v>2607</v>
      </c>
      <c r="I6" t="s">
        <v>2608</v>
      </c>
      <c r="J6" t="s">
        <v>2609</v>
      </c>
      <c r="K6" t="s">
        <v>2610</v>
      </c>
      <c r="L6" t="s">
        <v>2435</v>
      </c>
      <c r="M6" t="s">
        <v>2611</v>
      </c>
      <c r="N6" t="s">
        <v>2612</v>
      </c>
      <c r="O6" t="s">
        <v>2613</v>
      </c>
      <c r="P6" t="s">
        <v>2614</v>
      </c>
      <c r="Q6" t="s">
        <v>2615</v>
      </c>
      <c r="R6" t="s">
        <v>2616</v>
      </c>
      <c r="S6" t="s">
        <v>2617</v>
      </c>
      <c r="T6" t="s">
        <v>2618</v>
      </c>
      <c r="U6" t="s">
        <v>2619</v>
      </c>
      <c r="V6" t="s">
        <v>2620</v>
      </c>
      <c r="W6" t="s">
        <v>2621</v>
      </c>
      <c r="X6" t="s">
        <v>2622</v>
      </c>
      <c r="Y6" t="s">
        <v>2422</v>
      </c>
      <c r="Z6" t="s">
        <v>2623</v>
      </c>
      <c r="AA6" t="s">
        <v>2624</v>
      </c>
      <c r="AB6" t="s">
        <v>2419</v>
      </c>
      <c r="AC6" t="s">
        <v>2418</v>
      </c>
      <c r="AD6" t="s">
        <v>2625</v>
      </c>
      <c r="AE6" t="s">
        <v>2416</v>
      </c>
      <c r="AF6" t="s">
        <v>2626</v>
      </c>
      <c r="AG6" t="s">
        <v>2414</v>
      </c>
      <c r="AH6" t="s">
        <v>2627</v>
      </c>
      <c r="AI6" t="s">
        <v>2412</v>
      </c>
      <c r="AJ6" t="s">
        <v>2628</v>
      </c>
      <c r="AK6" t="s">
        <v>2629</v>
      </c>
      <c r="AL6" t="s">
        <v>2409</v>
      </c>
      <c r="AM6" t="s">
        <v>2408</v>
      </c>
      <c r="AN6" t="s">
        <v>2630</v>
      </c>
      <c r="AO6" t="s">
        <v>2406</v>
      </c>
      <c r="AP6" t="s">
        <v>2631</v>
      </c>
      <c r="AQ6" t="s">
        <v>2632</v>
      </c>
      <c r="AR6" t="s">
        <v>2403</v>
      </c>
      <c r="AS6" t="s">
        <v>2402</v>
      </c>
      <c r="AT6" t="s">
        <v>2401</v>
      </c>
      <c r="AU6" t="s">
        <v>2400</v>
      </c>
      <c r="AV6" t="s">
        <v>2633</v>
      </c>
      <c r="AW6" t="s">
        <v>2634</v>
      </c>
      <c r="AX6" t="s">
        <v>2635</v>
      </c>
      <c r="AY6" t="s">
        <v>1171</v>
      </c>
      <c r="AZ6" t="s">
        <v>2395</v>
      </c>
      <c r="BA6" t="s">
        <v>2636</v>
      </c>
      <c r="BB6" t="s">
        <v>2393</v>
      </c>
      <c r="BC6" t="s">
        <v>2637</v>
      </c>
      <c r="BD6" t="s">
        <v>2391</v>
      </c>
      <c r="BE6" t="s">
        <v>2638</v>
      </c>
      <c r="BF6" t="s">
        <v>2389</v>
      </c>
      <c r="BG6" t="s">
        <v>2639</v>
      </c>
      <c r="BH6" t="s">
        <v>2640</v>
      </c>
      <c r="BI6" t="s">
        <v>2641</v>
      </c>
      <c r="BJ6" t="s">
        <v>2642</v>
      </c>
      <c r="BK6" t="s">
        <v>2643</v>
      </c>
      <c r="BL6" t="s">
        <v>2383</v>
      </c>
      <c r="BM6" t="s">
        <v>2644</v>
      </c>
      <c r="BN6" t="s">
        <v>2645</v>
      </c>
      <c r="BO6" t="s">
        <v>2646</v>
      </c>
      <c r="BP6" t="s">
        <v>2647</v>
      </c>
      <c r="BQ6" t="s">
        <v>2378</v>
      </c>
      <c r="BR6" t="s">
        <v>2377</v>
      </c>
      <c r="BS6" t="s">
        <v>2376</v>
      </c>
      <c r="BT6" t="s">
        <v>2648</v>
      </c>
      <c r="BU6" t="s">
        <v>2374</v>
      </c>
      <c r="BV6" t="s">
        <v>2649</v>
      </c>
      <c r="BW6" t="s">
        <v>2372</v>
      </c>
      <c r="BX6" t="s">
        <v>2371</v>
      </c>
      <c r="BY6" t="s">
        <v>2370</v>
      </c>
      <c r="BZ6" t="s">
        <v>2369</v>
      </c>
      <c r="CA6" t="s">
        <v>2368</v>
      </c>
      <c r="CB6" t="s">
        <v>2650</v>
      </c>
      <c r="CC6" t="s">
        <v>2651</v>
      </c>
      <c r="CD6" t="s">
        <v>2365</v>
      </c>
      <c r="CE6" t="s">
        <v>2364</v>
      </c>
      <c r="CF6" t="s">
        <v>2363</v>
      </c>
      <c r="CG6" t="s">
        <v>2652</v>
      </c>
      <c r="CH6" t="s">
        <v>2653</v>
      </c>
      <c r="CI6" t="s">
        <v>2654</v>
      </c>
      <c r="CJ6" t="s">
        <v>2359</v>
      </c>
      <c r="CK6" t="s">
        <v>2358</v>
      </c>
      <c r="CL6" t="s">
        <v>2655</v>
      </c>
      <c r="CM6" t="s">
        <v>2656</v>
      </c>
      <c r="CN6" t="s">
        <v>2355</v>
      </c>
      <c r="CO6" t="s">
        <v>2354</v>
      </c>
      <c r="CP6" t="s">
        <v>2353</v>
      </c>
      <c r="CQ6" t="s">
        <v>2352</v>
      </c>
      <c r="CR6" t="s">
        <v>2351</v>
      </c>
      <c r="CS6" t="s">
        <v>2350</v>
      </c>
      <c r="CT6" t="s">
        <v>2349</v>
      </c>
      <c r="CU6" t="s">
        <v>2657</v>
      </c>
      <c r="CV6" t="s">
        <v>2658</v>
      </c>
      <c r="CW6" t="s">
        <v>2346</v>
      </c>
    </row>
    <row r="7" spans="1:101" x14ac:dyDescent="0.3">
      <c r="A7" t="s">
        <v>2760</v>
      </c>
      <c r="B7" t="s">
        <v>2761</v>
      </c>
      <c r="C7" t="s">
        <v>2762</v>
      </c>
      <c r="D7" t="s">
        <v>2763</v>
      </c>
      <c r="E7" t="s">
        <v>2764</v>
      </c>
      <c r="F7" t="s">
        <v>2765</v>
      </c>
      <c r="G7" t="s">
        <v>2766</v>
      </c>
      <c r="H7" t="s">
        <v>2767</v>
      </c>
      <c r="I7" t="s">
        <v>2768</v>
      </c>
      <c r="J7" t="s">
        <v>2769</v>
      </c>
      <c r="K7" t="s">
        <v>2770</v>
      </c>
      <c r="L7" t="s">
        <v>2771</v>
      </c>
      <c r="M7" t="s">
        <v>2772</v>
      </c>
      <c r="N7" t="s">
        <v>2773</v>
      </c>
      <c r="O7" t="s">
        <v>2774</v>
      </c>
      <c r="P7" t="s">
        <v>2775</v>
      </c>
      <c r="Q7" t="s">
        <v>2776</v>
      </c>
      <c r="R7" t="s">
        <v>2777</v>
      </c>
      <c r="S7" t="s">
        <v>2778</v>
      </c>
      <c r="T7" t="s">
        <v>2779</v>
      </c>
      <c r="U7" t="s">
        <v>2780</v>
      </c>
      <c r="V7" t="s">
        <v>2781</v>
      </c>
      <c r="W7" t="s">
        <v>2782</v>
      </c>
      <c r="X7" t="s">
        <v>2783</v>
      </c>
      <c r="Y7" t="s">
        <v>2784</v>
      </c>
      <c r="Z7" t="s">
        <v>2785</v>
      </c>
      <c r="AA7" t="s">
        <v>2786</v>
      </c>
      <c r="AB7" t="s">
        <v>2787</v>
      </c>
      <c r="AC7" t="s">
        <v>2788</v>
      </c>
      <c r="AD7" t="s">
        <v>2789</v>
      </c>
      <c r="AE7" t="s">
        <v>2790</v>
      </c>
      <c r="AF7" t="s">
        <v>2791</v>
      </c>
      <c r="AG7" t="s">
        <v>2792</v>
      </c>
      <c r="AH7" t="s">
        <v>2793</v>
      </c>
      <c r="AI7" t="s">
        <v>2794</v>
      </c>
      <c r="AJ7" t="s">
        <v>2795</v>
      </c>
      <c r="AK7" t="s">
        <v>2796</v>
      </c>
      <c r="AL7" t="s">
        <v>2797</v>
      </c>
      <c r="AM7" t="s">
        <v>2798</v>
      </c>
      <c r="AN7" t="s">
        <v>2799</v>
      </c>
      <c r="AO7" t="s">
        <v>2800</v>
      </c>
      <c r="AP7" t="s">
        <v>2801</v>
      </c>
      <c r="AQ7" t="s">
        <v>2802</v>
      </c>
      <c r="AR7" t="s">
        <v>2803</v>
      </c>
      <c r="AS7" t="s">
        <v>2804</v>
      </c>
      <c r="AT7" t="s">
        <v>2805</v>
      </c>
      <c r="AU7" t="s">
        <v>2806</v>
      </c>
      <c r="AV7" t="s">
        <v>2807</v>
      </c>
      <c r="AW7" t="s">
        <v>2808</v>
      </c>
      <c r="AX7" t="s">
        <v>2809</v>
      </c>
      <c r="AY7" t="s">
        <v>2810</v>
      </c>
      <c r="AZ7" t="s">
        <v>2811</v>
      </c>
      <c r="BA7" t="s">
        <v>2812</v>
      </c>
      <c r="BB7" t="s">
        <v>2813</v>
      </c>
      <c r="BC7" t="s">
        <v>2814</v>
      </c>
      <c r="BD7" t="s">
        <v>2815</v>
      </c>
      <c r="BE7" t="s">
        <v>2816</v>
      </c>
      <c r="BF7" t="s">
        <v>2817</v>
      </c>
      <c r="BG7" t="s">
        <v>2818</v>
      </c>
      <c r="BH7" t="s">
        <v>2819</v>
      </c>
      <c r="BI7" t="s">
        <v>2820</v>
      </c>
      <c r="BJ7" t="s">
        <v>2821</v>
      </c>
      <c r="BK7" t="s">
        <v>2822</v>
      </c>
      <c r="BL7" t="s">
        <v>2823</v>
      </c>
      <c r="BM7" t="s">
        <v>2824</v>
      </c>
      <c r="BN7" t="s">
        <v>2825</v>
      </c>
      <c r="BO7" t="s">
        <v>2826</v>
      </c>
      <c r="BP7" t="s">
        <v>2827</v>
      </c>
      <c r="BQ7" t="s">
        <v>2828</v>
      </c>
      <c r="BR7" t="s">
        <v>2829</v>
      </c>
      <c r="BS7" t="s">
        <v>2830</v>
      </c>
      <c r="BT7" t="s">
        <v>2831</v>
      </c>
      <c r="BU7" t="s">
        <v>2832</v>
      </c>
      <c r="BV7" t="s">
        <v>2833</v>
      </c>
      <c r="BW7" t="s">
        <v>2834</v>
      </c>
      <c r="BX7" t="s">
        <v>2835</v>
      </c>
      <c r="BY7" t="s">
        <v>2836</v>
      </c>
      <c r="BZ7" t="s">
        <v>2837</v>
      </c>
      <c r="CA7" t="s">
        <v>2838</v>
      </c>
      <c r="CB7" t="s">
        <v>2839</v>
      </c>
      <c r="CC7" t="s">
        <v>2840</v>
      </c>
      <c r="CD7" t="s">
        <v>2841</v>
      </c>
      <c r="CE7" t="s">
        <v>2842</v>
      </c>
      <c r="CF7" t="s">
        <v>2843</v>
      </c>
      <c r="CG7" t="s">
        <v>2844</v>
      </c>
      <c r="CH7" t="s">
        <v>2845</v>
      </c>
      <c r="CI7" t="s">
        <v>2846</v>
      </c>
      <c r="CJ7" t="s">
        <v>2847</v>
      </c>
      <c r="CK7" t="s">
        <v>2848</v>
      </c>
      <c r="CL7" t="s">
        <v>2849</v>
      </c>
      <c r="CM7" t="s">
        <v>2850</v>
      </c>
      <c r="CN7" t="s">
        <v>2851</v>
      </c>
      <c r="CO7" t="s">
        <v>2852</v>
      </c>
      <c r="CP7" t="s">
        <v>2853</v>
      </c>
      <c r="CQ7" t="s">
        <v>2854</v>
      </c>
      <c r="CR7" t="s">
        <v>2855</v>
      </c>
      <c r="CS7" t="s">
        <v>2856</v>
      </c>
      <c r="CT7" t="s">
        <v>2857</v>
      </c>
      <c r="CU7" t="s">
        <v>2858</v>
      </c>
      <c r="CV7" t="s">
        <v>2859</v>
      </c>
      <c r="CW7" t="s">
        <v>2860</v>
      </c>
    </row>
    <row r="8" spans="1:101" x14ac:dyDescent="0.3">
      <c r="A8">
        <f>-A7*10/10</f>
        <v>-50.244250000000001</v>
      </c>
      <c r="B8">
        <f t="shared" ref="B8:AY8" si="0">-B7*10/10</f>
        <v>-49.466059999999999</v>
      </c>
      <c r="C8">
        <f t="shared" si="0"/>
        <v>-49.122160000000001</v>
      </c>
      <c r="D8">
        <f t="shared" si="0"/>
        <v>-49.088990000000003</v>
      </c>
      <c r="E8">
        <f t="shared" si="0"/>
        <v>-48.923430000000003</v>
      </c>
      <c r="F8">
        <f t="shared" si="0"/>
        <v>-47.947069999999997</v>
      </c>
      <c r="G8">
        <f t="shared" si="0"/>
        <v>-46.203699999999998</v>
      </c>
      <c r="H8">
        <f t="shared" si="0"/>
        <v>-44.44397</v>
      </c>
      <c r="I8">
        <f t="shared" si="0"/>
        <v>-43.133879999999998</v>
      </c>
      <c r="J8">
        <f t="shared" si="0"/>
        <v>-42.210769999999997</v>
      </c>
      <c r="K8">
        <f t="shared" si="0"/>
        <v>-41.537669999999999</v>
      </c>
      <c r="L8">
        <f t="shared" si="0"/>
        <v>-41.0929</v>
      </c>
      <c r="M8">
        <f t="shared" si="0"/>
        <v>-40.690370000000001</v>
      </c>
      <c r="N8">
        <f t="shared" si="0"/>
        <v>-39.91621</v>
      </c>
      <c r="O8">
        <f t="shared" si="0"/>
        <v>-38.585270000000001</v>
      </c>
      <c r="P8">
        <f t="shared" si="0"/>
        <v>-36.993690000000001</v>
      </c>
      <c r="Q8">
        <f t="shared" si="0"/>
        <v>-35.529000000000003</v>
      </c>
      <c r="R8">
        <f t="shared" si="0"/>
        <v>-34.318440000000002</v>
      </c>
      <c r="S8">
        <f t="shared" si="0"/>
        <v>-33.32705</v>
      </c>
      <c r="T8">
        <f t="shared" si="0"/>
        <v>-32.552720000000001</v>
      </c>
      <c r="U8">
        <f t="shared" si="0"/>
        <v>-31.970849999999995</v>
      </c>
      <c r="V8">
        <f t="shared" si="0"/>
        <v>-31.38062</v>
      </c>
      <c r="W8">
        <f t="shared" si="0"/>
        <v>-30.491899999999998</v>
      </c>
      <c r="X8">
        <f t="shared" si="0"/>
        <v>-29.213389999999997</v>
      </c>
      <c r="Y8">
        <f t="shared" si="0"/>
        <v>-27.736560000000004</v>
      </c>
      <c r="Z8">
        <f t="shared" si="0"/>
        <v>-26.309199999999997</v>
      </c>
      <c r="AA8">
        <f t="shared" si="0"/>
        <v>-25.050560000000001</v>
      </c>
      <c r="AB8">
        <f t="shared" si="0"/>
        <v>-23.98489</v>
      </c>
      <c r="AC8">
        <f t="shared" si="0"/>
        <v>-23.123619999999999</v>
      </c>
      <c r="AD8">
        <f t="shared" si="0"/>
        <v>-22.433499999999999</v>
      </c>
      <c r="AE8">
        <f t="shared" si="0"/>
        <v>-21.764690000000002</v>
      </c>
      <c r="AF8">
        <f t="shared" si="0"/>
        <v>-20.903639999999999</v>
      </c>
      <c r="AG8">
        <f t="shared" si="0"/>
        <v>-19.742249999999999</v>
      </c>
      <c r="AH8">
        <f t="shared" si="0"/>
        <v>-18.36581</v>
      </c>
      <c r="AI8">
        <f t="shared" si="0"/>
        <v>-16.954550000000001</v>
      </c>
      <c r="AJ8">
        <f t="shared" si="0"/>
        <v>-15.647690000000001</v>
      </c>
      <c r="AK8">
        <f t="shared" si="0"/>
        <v>-14.51071</v>
      </c>
      <c r="AL8">
        <f t="shared" si="0"/>
        <v>-13.564260000000001</v>
      </c>
      <c r="AM8">
        <f t="shared" si="0"/>
        <v>-12.782299999999999</v>
      </c>
      <c r="AN8">
        <f t="shared" si="0"/>
        <v>-12.063560000000001</v>
      </c>
      <c r="AO8">
        <f t="shared" si="0"/>
        <v>-11.251099999999999</v>
      </c>
      <c r="AP8">
        <f t="shared" si="0"/>
        <v>-10.223229999999999</v>
      </c>
      <c r="AQ8">
        <f t="shared" si="0"/>
        <v>-8.976953</v>
      </c>
      <c r="AR8">
        <f t="shared" si="0"/>
        <v>-7.616003000000001</v>
      </c>
      <c r="AS8">
        <f t="shared" si="0"/>
        <v>-6.2723089999999999</v>
      </c>
      <c r="AT8">
        <f t="shared" si="0"/>
        <v>-5.0491840000000003</v>
      </c>
      <c r="AU8">
        <f t="shared" si="0"/>
        <v>-4.004251</v>
      </c>
      <c r="AV8">
        <f t="shared" si="0"/>
        <v>-3.1363690000000002</v>
      </c>
      <c r="AW8">
        <f t="shared" si="0"/>
        <v>-2.3749820000000001</v>
      </c>
      <c r="AX8">
        <f t="shared" si="0"/>
        <v>-1.5996520000000001</v>
      </c>
      <c r="AY8">
        <f t="shared" si="0"/>
        <v>-0.69474159999999996</v>
      </c>
      <c r="AZ8">
        <f>-AZ7+360</f>
        <v>0.39519999999998845</v>
      </c>
      <c r="BA8">
        <f t="shared" ref="BA8:CW8" si="1">-BA7+360</f>
        <v>1.648399999999981</v>
      </c>
      <c r="BB8">
        <f t="shared" si="1"/>
        <v>2.9873000000000047</v>
      </c>
      <c r="BC8">
        <f t="shared" si="1"/>
        <v>4.3050999999999817</v>
      </c>
      <c r="BD8">
        <f t="shared" si="1"/>
        <v>5.4927999999999884</v>
      </c>
      <c r="BE8">
        <f t="shared" si="1"/>
        <v>6.4855999999999767</v>
      </c>
      <c r="BF8">
        <f t="shared" si="1"/>
        <v>7.3057999999999765</v>
      </c>
      <c r="BG8">
        <f t="shared" si="1"/>
        <v>8.0511999999999944</v>
      </c>
      <c r="BH8">
        <f t="shared" si="1"/>
        <v>8.8355000000000246</v>
      </c>
      <c r="BI8">
        <f t="shared" si="1"/>
        <v>9.7411999999999921</v>
      </c>
      <c r="BJ8">
        <f t="shared" si="1"/>
        <v>10.815200000000004</v>
      </c>
      <c r="BK8">
        <f t="shared" si="1"/>
        <v>12.069900000000018</v>
      </c>
      <c r="BL8">
        <f t="shared" si="1"/>
        <v>13.457100000000025</v>
      </c>
      <c r="BM8">
        <f t="shared" si="1"/>
        <v>14.844299999999976</v>
      </c>
      <c r="BN8">
        <f t="shared" si="1"/>
        <v>16.062700000000007</v>
      </c>
      <c r="BO8">
        <f t="shared" si="1"/>
        <v>17.016599999999983</v>
      </c>
      <c r="BP8">
        <f t="shared" si="1"/>
        <v>17.744399999999985</v>
      </c>
      <c r="BQ8">
        <f t="shared" si="1"/>
        <v>18.365900000000011</v>
      </c>
      <c r="BR8">
        <f t="shared" si="1"/>
        <v>19.009900000000016</v>
      </c>
      <c r="BS8">
        <f t="shared" si="1"/>
        <v>19.806899999999985</v>
      </c>
      <c r="BT8">
        <f t="shared" si="1"/>
        <v>20.893199999999979</v>
      </c>
      <c r="BU8">
        <f t="shared" si="1"/>
        <v>22.332299999999975</v>
      </c>
      <c r="BV8">
        <f t="shared" si="1"/>
        <v>24.002799999999979</v>
      </c>
      <c r="BW8">
        <f t="shared" si="1"/>
        <v>25.593399999999974</v>
      </c>
      <c r="BX8">
        <f t="shared" si="1"/>
        <v>26.781499999999994</v>
      </c>
      <c r="BY8">
        <f t="shared" si="1"/>
        <v>27.454099999999983</v>
      </c>
      <c r="BZ8">
        <f t="shared" si="1"/>
        <v>27.750499999999988</v>
      </c>
      <c r="CA8">
        <f t="shared" si="1"/>
        <v>27.948899999999981</v>
      </c>
      <c r="CB8">
        <f t="shared" si="1"/>
        <v>28.377999999999986</v>
      </c>
      <c r="CC8">
        <f t="shared" si="1"/>
        <v>29.353799999999978</v>
      </c>
      <c r="CD8">
        <f t="shared" si="1"/>
        <v>31.031299999999987</v>
      </c>
      <c r="CE8">
        <f t="shared" si="1"/>
        <v>33.208900000000028</v>
      </c>
      <c r="CF8">
        <f t="shared" si="1"/>
        <v>35.276900000000012</v>
      </c>
      <c r="CG8">
        <f t="shared" si="1"/>
        <v>36.524000000000001</v>
      </c>
      <c r="CH8">
        <f t="shared" si="1"/>
        <v>36.709499999999991</v>
      </c>
      <c r="CI8">
        <f t="shared" si="1"/>
        <v>36.276299999999992</v>
      </c>
      <c r="CJ8">
        <f t="shared" si="1"/>
        <v>35.961999999999989</v>
      </c>
      <c r="CK8">
        <f t="shared" si="1"/>
        <v>36.381700000000023</v>
      </c>
      <c r="CL8">
        <f t="shared" si="1"/>
        <v>37.86669999999998</v>
      </c>
      <c r="CM8">
        <f t="shared" si="1"/>
        <v>40.333799999999997</v>
      </c>
      <c r="CN8">
        <f t="shared" si="1"/>
        <v>43.080399999999997</v>
      </c>
      <c r="CO8">
        <f t="shared" si="1"/>
        <v>44.872099999999989</v>
      </c>
      <c r="CP8">
        <f t="shared" si="1"/>
        <v>44.948699999999974</v>
      </c>
      <c r="CQ8">
        <f t="shared" si="1"/>
        <v>43.979899999999986</v>
      </c>
      <c r="CR8">
        <f t="shared" si="1"/>
        <v>43.276999999999987</v>
      </c>
      <c r="CS8">
        <f t="shared" si="1"/>
        <v>43.663900000000012</v>
      </c>
      <c r="CT8">
        <f t="shared" si="1"/>
        <v>45.291999999999973</v>
      </c>
      <c r="CU8">
        <f t="shared" si="1"/>
        <v>47.799500000000023</v>
      </c>
      <c r="CV8">
        <f t="shared" si="1"/>
        <v>50.320699999999988</v>
      </c>
      <c r="CW8">
        <f t="shared" si="1"/>
        <v>51.704999999999984</v>
      </c>
    </row>
    <row r="9" spans="1:101" s="1" customFormat="1" x14ac:dyDescent="0.3">
      <c r="A9" s="1">
        <f>A2*10/10</f>
        <v>-39.200000000000003</v>
      </c>
      <c r="B9" s="1">
        <f t="shared" ref="B9:BM9" si="2">B2*10/10</f>
        <v>-38.4</v>
      </c>
      <c r="C9" s="1">
        <f t="shared" si="2"/>
        <v>-37.6</v>
      </c>
      <c r="D9" s="1">
        <f t="shared" si="2"/>
        <v>-36.799999999999997</v>
      </c>
      <c r="E9" s="1">
        <f t="shared" si="2"/>
        <v>-36</v>
      </c>
      <c r="F9" s="1">
        <f t="shared" si="2"/>
        <v>-35.200000000000003</v>
      </c>
      <c r="G9" s="1">
        <f t="shared" si="2"/>
        <v>-34.400010000000002</v>
      </c>
      <c r="H9" s="1">
        <f t="shared" si="2"/>
        <v>-33.600009999999997</v>
      </c>
      <c r="I9" s="1">
        <f t="shared" si="2"/>
        <v>-32.80001</v>
      </c>
      <c r="J9" s="1">
        <f t="shared" si="2"/>
        <v>-32.000010000000003</v>
      </c>
      <c r="K9" s="1">
        <f t="shared" si="2"/>
        <v>-31.200009999999999</v>
      </c>
      <c r="L9" s="1">
        <f t="shared" si="2"/>
        <v>-30.400010000000002</v>
      </c>
      <c r="M9" s="1">
        <f t="shared" si="2"/>
        <v>-29.600010000000005</v>
      </c>
      <c r="N9" s="1">
        <f t="shared" si="2"/>
        <v>-28.800009999999997</v>
      </c>
      <c r="O9" s="1">
        <f t="shared" si="2"/>
        <v>-28.000009999999996</v>
      </c>
      <c r="P9" s="1">
        <f t="shared" si="2"/>
        <v>-27.200009999999999</v>
      </c>
      <c r="Q9" s="1">
        <f t="shared" si="2"/>
        <v>-26.400010000000002</v>
      </c>
      <c r="R9" s="1">
        <f t="shared" si="2"/>
        <v>-25.600010000000005</v>
      </c>
      <c r="S9" s="1">
        <f t="shared" si="2"/>
        <v>-24.80001</v>
      </c>
      <c r="T9" s="1">
        <f t="shared" si="2"/>
        <v>-24.000019999999999</v>
      </c>
      <c r="U9" s="1">
        <f t="shared" si="2"/>
        <v>-23.200019999999999</v>
      </c>
      <c r="V9" s="1">
        <f t="shared" si="2"/>
        <v>-22.400020000000001</v>
      </c>
      <c r="W9" s="1">
        <f t="shared" si="2"/>
        <v>-21.600020000000001</v>
      </c>
      <c r="X9" s="1">
        <f t="shared" si="2"/>
        <v>-20.80002</v>
      </c>
      <c r="Y9" s="1">
        <f t="shared" si="2"/>
        <v>-20.000019999999999</v>
      </c>
      <c r="Z9" s="1">
        <f t="shared" si="2"/>
        <v>-19.200019999999999</v>
      </c>
      <c r="AA9" s="1">
        <f t="shared" si="2"/>
        <v>-18.400020000000001</v>
      </c>
      <c r="AB9" s="1">
        <f t="shared" si="2"/>
        <v>-17.600020000000001</v>
      </c>
      <c r="AC9" s="1">
        <f t="shared" si="2"/>
        <v>-16.80002</v>
      </c>
      <c r="AD9" s="1">
        <f t="shared" si="2"/>
        <v>-16.000019999999999</v>
      </c>
      <c r="AE9" s="1">
        <f t="shared" si="2"/>
        <v>-15.20002</v>
      </c>
      <c r="AF9" s="1">
        <f t="shared" si="2"/>
        <v>-14.400020000000001</v>
      </c>
      <c r="AG9" s="1">
        <f t="shared" si="2"/>
        <v>-13.600020000000001</v>
      </c>
      <c r="AH9" s="1">
        <f t="shared" si="2"/>
        <v>-12.80002</v>
      </c>
      <c r="AI9" s="1">
        <f t="shared" si="2"/>
        <v>-12.000019999999999</v>
      </c>
      <c r="AJ9" s="1">
        <f t="shared" si="2"/>
        <v>-11.20002</v>
      </c>
      <c r="AK9" s="1">
        <f t="shared" si="2"/>
        <v>-10.40002</v>
      </c>
      <c r="AL9" s="1">
        <f t="shared" si="2"/>
        <v>-9.6000209999999999</v>
      </c>
      <c r="AM9" s="1">
        <f t="shared" si="2"/>
        <v>-8.8000209999999992</v>
      </c>
      <c r="AN9" s="1">
        <f t="shared" si="2"/>
        <v>-8.0000210000000003</v>
      </c>
      <c r="AO9" s="1">
        <f t="shared" si="2"/>
        <v>-7.2000209999999996</v>
      </c>
      <c r="AP9" s="1">
        <f t="shared" si="2"/>
        <v>-6.4000209999999997</v>
      </c>
      <c r="AQ9" s="1">
        <f t="shared" si="2"/>
        <v>-5.6000199999999998</v>
      </c>
      <c r="AR9" s="1">
        <f t="shared" si="2"/>
        <v>-4.80002</v>
      </c>
      <c r="AS9" s="1">
        <f t="shared" si="2"/>
        <v>-4.0000200000000001</v>
      </c>
      <c r="AT9" s="1">
        <f t="shared" si="2"/>
        <v>-3.2000199999999999</v>
      </c>
      <c r="AU9" s="1">
        <f t="shared" si="2"/>
        <v>-2.40002</v>
      </c>
      <c r="AV9" s="1">
        <f t="shared" si="2"/>
        <v>-1.60002</v>
      </c>
      <c r="AW9" s="1">
        <f t="shared" si="2"/>
        <v>-0.80002019999999996</v>
      </c>
      <c r="AX9" s="1">
        <f t="shared" si="2"/>
        <v>-2.0146369999999999E-5</v>
      </c>
      <c r="AY9" s="1">
        <f t="shared" si="2"/>
        <v>0.79997989999999997</v>
      </c>
      <c r="AZ9" s="1">
        <f t="shared" si="2"/>
        <v>1.59998</v>
      </c>
      <c r="BA9" s="1">
        <f t="shared" si="2"/>
        <v>2.3999799999999998</v>
      </c>
      <c r="BB9" s="1">
        <f t="shared" si="2"/>
        <v>3.19998</v>
      </c>
      <c r="BC9" s="1">
        <f t="shared" si="2"/>
        <v>3.9999799999999999</v>
      </c>
      <c r="BD9" s="1">
        <f t="shared" si="2"/>
        <v>4.7999799999999997</v>
      </c>
      <c r="BE9" s="1">
        <f t="shared" si="2"/>
        <v>5.5999800000000004</v>
      </c>
      <c r="BF9" s="1">
        <f t="shared" si="2"/>
        <v>6.3999800000000002</v>
      </c>
      <c r="BG9" s="1">
        <f t="shared" si="2"/>
        <v>7.1999799999999992</v>
      </c>
      <c r="BH9" s="1">
        <f t="shared" si="2"/>
        <v>7.999979999999999</v>
      </c>
      <c r="BI9" s="1">
        <f t="shared" si="2"/>
        <v>8.7999799999999997</v>
      </c>
      <c r="BJ9" s="1">
        <f t="shared" si="2"/>
        <v>9.5999800000000004</v>
      </c>
      <c r="BK9" s="1">
        <f t="shared" si="2"/>
        <v>10.399979999999999</v>
      </c>
      <c r="BL9" s="1">
        <f t="shared" si="2"/>
        <v>11.19998</v>
      </c>
      <c r="BM9" s="1">
        <f t="shared" si="2"/>
        <v>11.999980000000001</v>
      </c>
      <c r="BN9" s="1">
        <f t="shared" ref="BN9:CW9" si="3">BN2*10/10</f>
        <v>12.79998</v>
      </c>
      <c r="BO9" s="1">
        <f t="shared" si="3"/>
        <v>13.599979999999999</v>
      </c>
      <c r="BP9" s="1">
        <f t="shared" si="3"/>
        <v>14.399979999999999</v>
      </c>
      <c r="BQ9" s="1">
        <f t="shared" si="3"/>
        <v>15.19998</v>
      </c>
      <c r="BR9" s="1">
        <f t="shared" si="3"/>
        <v>15.999979999999999</v>
      </c>
      <c r="BS9" s="1">
        <f t="shared" si="3"/>
        <v>16.799980000000001</v>
      </c>
      <c r="BT9" s="1">
        <f t="shared" si="3"/>
        <v>17.599979999999999</v>
      </c>
      <c r="BU9" s="1">
        <f t="shared" si="3"/>
        <v>18.399979999999999</v>
      </c>
      <c r="BV9" s="1">
        <f t="shared" si="3"/>
        <v>19.19998</v>
      </c>
      <c r="BW9" s="1">
        <f t="shared" si="3"/>
        <v>19.999980000000001</v>
      </c>
      <c r="BX9" s="1">
        <f t="shared" si="3"/>
        <v>20.799980000000001</v>
      </c>
      <c r="BY9" s="1">
        <f t="shared" si="3"/>
        <v>21.599979999999999</v>
      </c>
      <c r="BZ9" s="1">
        <f t="shared" si="3"/>
        <v>22.399979999999999</v>
      </c>
      <c r="CA9" s="1">
        <f t="shared" si="3"/>
        <v>23.19998</v>
      </c>
      <c r="CB9" s="1">
        <f t="shared" si="3"/>
        <v>23.999980000000001</v>
      </c>
      <c r="CC9" s="1">
        <f t="shared" si="3"/>
        <v>24.799969999999998</v>
      </c>
      <c r="CD9" s="1">
        <f t="shared" si="3"/>
        <v>25.599969999999999</v>
      </c>
      <c r="CE9" s="1">
        <f t="shared" si="3"/>
        <v>26.399970000000003</v>
      </c>
      <c r="CF9" s="1">
        <f t="shared" si="3"/>
        <v>27.19997</v>
      </c>
      <c r="CG9" s="1">
        <f t="shared" si="3"/>
        <v>27.999970000000001</v>
      </c>
      <c r="CH9" s="1">
        <f t="shared" si="3"/>
        <v>28.799969999999995</v>
      </c>
      <c r="CI9" s="1">
        <f t="shared" si="3"/>
        <v>29.599969999999995</v>
      </c>
      <c r="CJ9" s="1">
        <f t="shared" si="3"/>
        <v>30.399970000000003</v>
      </c>
      <c r="CK9" s="1">
        <f t="shared" si="3"/>
        <v>31.19997</v>
      </c>
      <c r="CL9" s="1">
        <f t="shared" si="3"/>
        <v>31.999970000000001</v>
      </c>
      <c r="CM9" s="1">
        <f t="shared" si="3"/>
        <v>32.799970000000002</v>
      </c>
      <c r="CN9" s="1">
        <f t="shared" si="3"/>
        <v>33.599969999999999</v>
      </c>
      <c r="CO9" s="1">
        <f t="shared" si="3"/>
        <v>34.399970000000003</v>
      </c>
      <c r="CP9" s="1">
        <f t="shared" si="3"/>
        <v>35.19997</v>
      </c>
      <c r="CQ9" s="1">
        <f t="shared" si="3"/>
        <v>35.999969999999998</v>
      </c>
      <c r="CR9" s="1">
        <f t="shared" si="3"/>
        <v>36.799959999999999</v>
      </c>
      <c r="CS9" s="1">
        <f t="shared" si="3"/>
        <v>37.599960000000003</v>
      </c>
      <c r="CT9" s="1">
        <f t="shared" si="3"/>
        <v>38.39996</v>
      </c>
      <c r="CU9" s="1">
        <f t="shared" si="3"/>
        <v>39.199959999999997</v>
      </c>
      <c r="CV9" s="1">
        <f t="shared" si="3"/>
        <v>39.999960000000002</v>
      </c>
      <c r="CW9" s="1">
        <f t="shared" si="3"/>
        <v>40.799959999999999</v>
      </c>
    </row>
    <row r="11" spans="1:101" x14ac:dyDescent="0.3">
      <c r="A11">
        <f>A3*1</f>
        <v>281.73</v>
      </c>
      <c r="B11">
        <f t="shared" ref="B11:BM12" si="4">B3*1</f>
        <v>281.01850000000002</v>
      </c>
      <c r="C11">
        <f t="shared" si="4"/>
        <v>280.2953</v>
      </c>
      <c r="D11">
        <f t="shared" si="4"/>
        <v>279.56049999999999</v>
      </c>
      <c r="E11">
        <f t="shared" si="4"/>
        <v>278.81420000000003</v>
      </c>
      <c r="F11">
        <f t="shared" si="4"/>
        <v>278.05650000000003</v>
      </c>
      <c r="G11">
        <f t="shared" si="4"/>
        <v>277.28739999999999</v>
      </c>
      <c r="H11">
        <f t="shared" si="4"/>
        <v>276.50689999999997</v>
      </c>
      <c r="I11">
        <f t="shared" si="4"/>
        <v>275.71510000000001</v>
      </c>
      <c r="J11">
        <f t="shared" si="4"/>
        <v>274.91219999999998</v>
      </c>
      <c r="K11">
        <f t="shared" si="4"/>
        <v>274.09809999999999</v>
      </c>
      <c r="L11">
        <f t="shared" si="4"/>
        <v>273.27280000000002</v>
      </c>
      <c r="M11">
        <f t="shared" si="4"/>
        <v>272.43639999999999</v>
      </c>
      <c r="N11">
        <f t="shared" si="4"/>
        <v>271.58909999999997</v>
      </c>
      <c r="O11">
        <f t="shared" si="4"/>
        <v>270.73090000000002</v>
      </c>
      <c r="P11">
        <f t="shared" si="4"/>
        <v>269.86180000000002</v>
      </c>
      <c r="Q11">
        <f t="shared" si="4"/>
        <v>268.9819</v>
      </c>
      <c r="R11">
        <f t="shared" si="4"/>
        <v>268.09120000000001</v>
      </c>
      <c r="S11">
        <f t="shared" si="4"/>
        <v>267.18990000000002</v>
      </c>
      <c r="T11">
        <f t="shared" si="4"/>
        <v>266.27800000000002</v>
      </c>
      <c r="U11">
        <f t="shared" si="4"/>
        <v>265.35559999999998</v>
      </c>
      <c r="V11">
        <f t="shared" si="4"/>
        <v>264.42270000000002</v>
      </c>
      <c r="W11">
        <f t="shared" si="4"/>
        <v>263.4794</v>
      </c>
      <c r="X11">
        <f t="shared" si="4"/>
        <v>262.5258</v>
      </c>
      <c r="Y11">
        <f t="shared" si="4"/>
        <v>261.56200000000001</v>
      </c>
      <c r="Z11">
        <f t="shared" si="4"/>
        <v>260.58800000000002</v>
      </c>
      <c r="AA11">
        <f t="shared" si="4"/>
        <v>259.60390000000001</v>
      </c>
      <c r="AB11">
        <f t="shared" si="4"/>
        <v>258.60989999999998</v>
      </c>
      <c r="AC11">
        <f t="shared" si="4"/>
        <v>257.60579999999999</v>
      </c>
      <c r="AD11">
        <f t="shared" si="4"/>
        <v>256.59199999999998</v>
      </c>
      <c r="AE11">
        <f t="shared" si="4"/>
        <v>255.56829999999999</v>
      </c>
      <c r="AF11">
        <f t="shared" si="4"/>
        <v>254.535</v>
      </c>
      <c r="AG11">
        <f t="shared" si="4"/>
        <v>253.49209999999999</v>
      </c>
      <c r="AH11">
        <f t="shared" si="4"/>
        <v>252.43969999999999</v>
      </c>
      <c r="AI11">
        <f t="shared" si="4"/>
        <v>251.37780000000001</v>
      </c>
      <c r="AJ11">
        <f t="shared" si="4"/>
        <v>250.3066</v>
      </c>
      <c r="AK11">
        <f t="shared" si="4"/>
        <v>249.22620000000001</v>
      </c>
      <c r="AL11">
        <f t="shared" si="4"/>
        <v>248.13650000000001</v>
      </c>
      <c r="AM11">
        <f t="shared" si="4"/>
        <v>247.03790000000001</v>
      </c>
      <c r="AN11">
        <f t="shared" si="4"/>
        <v>245.93020000000001</v>
      </c>
      <c r="AO11">
        <f t="shared" si="4"/>
        <v>244.81370000000001</v>
      </c>
      <c r="AP11">
        <f t="shared" si="4"/>
        <v>243.6884</v>
      </c>
      <c r="AQ11">
        <f t="shared" si="4"/>
        <v>242.55439999999999</v>
      </c>
      <c r="AR11">
        <f t="shared" si="4"/>
        <v>241.4118</v>
      </c>
      <c r="AS11">
        <f t="shared" si="4"/>
        <v>240.26079999999999</v>
      </c>
      <c r="AT11">
        <f t="shared" si="4"/>
        <v>239.10130000000001</v>
      </c>
      <c r="AU11">
        <f t="shared" si="4"/>
        <v>237.93369999999999</v>
      </c>
      <c r="AV11">
        <f t="shared" si="4"/>
        <v>236.7578</v>
      </c>
      <c r="AW11">
        <f t="shared" si="4"/>
        <v>235.57390000000001</v>
      </c>
      <c r="AX11">
        <f t="shared" si="4"/>
        <v>234.38200000000001</v>
      </c>
      <c r="AY11">
        <f t="shared" si="4"/>
        <v>233.1824</v>
      </c>
      <c r="AZ11">
        <f t="shared" si="4"/>
        <v>231.97499999999999</v>
      </c>
      <c r="BA11">
        <f t="shared" si="4"/>
        <v>230.76</v>
      </c>
      <c r="BB11">
        <f t="shared" si="4"/>
        <v>229.53749999999999</v>
      </c>
      <c r="BC11">
        <f t="shared" si="4"/>
        <v>228.30760000000001</v>
      </c>
      <c r="BD11">
        <f t="shared" si="4"/>
        <v>227.07050000000001</v>
      </c>
      <c r="BE11">
        <f t="shared" si="4"/>
        <v>225.8263</v>
      </c>
      <c r="BF11">
        <f t="shared" si="4"/>
        <v>224.57509999999999</v>
      </c>
      <c r="BG11">
        <f t="shared" si="4"/>
        <v>223.31710000000001</v>
      </c>
      <c r="BH11">
        <f t="shared" si="4"/>
        <v>222.0523</v>
      </c>
      <c r="BI11">
        <f t="shared" si="4"/>
        <v>220.7809</v>
      </c>
      <c r="BJ11">
        <f t="shared" si="4"/>
        <v>219.50309999999999</v>
      </c>
      <c r="BK11">
        <f t="shared" si="4"/>
        <v>218.21889999999999</v>
      </c>
      <c r="BL11">
        <f t="shared" si="4"/>
        <v>216.92850000000001</v>
      </c>
      <c r="BM11">
        <f t="shared" si="4"/>
        <v>215.63220000000001</v>
      </c>
      <c r="BN11">
        <f t="shared" ref="BN11:CW14" si="5">BN3*1</f>
        <v>214.32990000000001</v>
      </c>
      <c r="BO11">
        <f t="shared" si="5"/>
        <v>213.02180000000001</v>
      </c>
      <c r="BP11">
        <f t="shared" si="5"/>
        <v>211.70820000000001</v>
      </c>
      <c r="BQ11">
        <f t="shared" si="5"/>
        <v>210.38910000000001</v>
      </c>
      <c r="BR11">
        <f t="shared" si="5"/>
        <v>209.06479999999999</v>
      </c>
      <c r="BS11">
        <f t="shared" si="5"/>
        <v>207.73519999999999</v>
      </c>
      <c r="BT11">
        <f t="shared" si="5"/>
        <v>206.4008</v>
      </c>
      <c r="BU11">
        <f t="shared" si="5"/>
        <v>205.0615</v>
      </c>
      <c r="BV11">
        <f t="shared" si="5"/>
        <v>203.7176</v>
      </c>
      <c r="BW11">
        <f t="shared" si="5"/>
        <v>202.36930000000001</v>
      </c>
      <c r="BX11">
        <f t="shared" si="5"/>
        <v>201.01669999999999</v>
      </c>
      <c r="BY11">
        <f t="shared" si="5"/>
        <v>199.65989999999999</v>
      </c>
      <c r="BZ11">
        <f t="shared" si="5"/>
        <v>198.29929999999999</v>
      </c>
      <c r="CA11">
        <f t="shared" si="5"/>
        <v>196.9349</v>
      </c>
      <c r="CB11">
        <f t="shared" si="5"/>
        <v>195.56700000000001</v>
      </c>
      <c r="CC11">
        <f t="shared" si="5"/>
        <v>194.19569999999999</v>
      </c>
      <c r="CD11">
        <f t="shared" si="5"/>
        <v>192.82130000000001</v>
      </c>
      <c r="CE11">
        <f t="shared" si="5"/>
        <v>191.44390000000001</v>
      </c>
      <c r="CF11">
        <f t="shared" si="5"/>
        <v>190.06379999999999</v>
      </c>
      <c r="CG11">
        <f t="shared" si="5"/>
        <v>188.68119999999999</v>
      </c>
      <c r="CH11">
        <f t="shared" si="5"/>
        <v>187.2962</v>
      </c>
      <c r="CI11">
        <f t="shared" si="5"/>
        <v>185.9092</v>
      </c>
      <c r="CJ11">
        <f t="shared" si="5"/>
        <v>184.52029999999999</v>
      </c>
      <c r="CK11">
        <f t="shared" si="5"/>
        <v>183.12979999999999</v>
      </c>
      <c r="CL11">
        <f t="shared" si="5"/>
        <v>181.73779999999999</v>
      </c>
      <c r="CM11">
        <f t="shared" si="5"/>
        <v>180.34479999999999</v>
      </c>
      <c r="CN11">
        <f t="shared" si="5"/>
        <v>178.95079999999999</v>
      </c>
      <c r="CO11">
        <f t="shared" si="5"/>
        <v>177.55619999999999</v>
      </c>
      <c r="CP11">
        <f t="shared" si="5"/>
        <v>176.16120000000001</v>
      </c>
      <c r="CQ11">
        <f t="shared" si="5"/>
        <v>174.76599999999999</v>
      </c>
      <c r="CR11">
        <f t="shared" si="5"/>
        <v>173.37100000000001</v>
      </c>
      <c r="CS11">
        <f t="shared" si="5"/>
        <v>171.97649999999999</v>
      </c>
      <c r="CT11">
        <f t="shared" si="5"/>
        <v>170.58260000000001</v>
      </c>
      <c r="CU11">
        <f t="shared" si="5"/>
        <v>169.18979999999999</v>
      </c>
      <c r="CV11">
        <f t="shared" si="5"/>
        <v>167.79820000000001</v>
      </c>
      <c r="CW11">
        <f t="shared" si="5"/>
        <v>166.4083</v>
      </c>
    </row>
    <row r="12" spans="1:101" x14ac:dyDescent="0.3">
      <c r="A12">
        <f t="shared" ref="A12:P14" si="6">A4*1</f>
        <v>286.04689999999999</v>
      </c>
      <c r="B12">
        <f t="shared" si="6"/>
        <v>285.34609999999998</v>
      </c>
      <c r="C12">
        <f t="shared" si="6"/>
        <v>284.63389999999998</v>
      </c>
      <c r="D12">
        <f t="shared" si="6"/>
        <v>283.91030000000001</v>
      </c>
      <c r="E12">
        <f t="shared" si="6"/>
        <v>283.1755</v>
      </c>
      <c r="F12">
        <f t="shared" si="6"/>
        <v>282.42950000000002</v>
      </c>
      <c r="G12">
        <f t="shared" si="6"/>
        <v>281.67230000000001</v>
      </c>
      <c r="H12">
        <f t="shared" si="6"/>
        <v>280.90410000000003</v>
      </c>
      <c r="I12">
        <f t="shared" si="6"/>
        <v>280.12470000000002</v>
      </c>
      <c r="J12">
        <f t="shared" si="6"/>
        <v>279.33440000000002</v>
      </c>
      <c r="K12">
        <f t="shared" si="6"/>
        <v>278.53320000000002</v>
      </c>
      <c r="L12">
        <f t="shared" si="6"/>
        <v>277.72109999999998</v>
      </c>
      <c r="M12">
        <f t="shared" si="6"/>
        <v>276.89819999999997</v>
      </c>
      <c r="N12">
        <f t="shared" si="6"/>
        <v>276.06459999999998</v>
      </c>
      <c r="O12">
        <f t="shared" si="6"/>
        <v>275.22030000000001</v>
      </c>
      <c r="P12">
        <f t="shared" si="6"/>
        <v>274.36540000000002</v>
      </c>
      <c r="Q12">
        <f t="shared" si="4"/>
        <v>273.5</v>
      </c>
      <c r="R12">
        <f t="shared" si="4"/>
        <v>272.6241</v>
      </c>
      <c r="S12">
        <f t="shared" si="4"/>
        <v>271.73790000000002</v>
      </c>
      <c r="T12">
        <f t="shared" si="4"/>
        <v>270.84120000000001</v>
      </c>
      <c r="U12">
        <f t="shared" si="4"/>
        <v>269.93439999999998</v>
      </c>
      <c r="V12">
        <f t="shared" si="4"/>
        <v>269.01740000000001</v>
      </c>
      <c r="W12">
        <f t="shared" si="4"/>
        <v>268.09030000000001</v>
      </c>
      <c r="X12">
        <f t="shared" si="4"/>
        <v>267.15320000000003</v>
      </c>
      <c r="Y12">
        <f t="shared" si="4"/>
        <v>266.20609999999999</v>
      </c>
      <c r="Z12">
        <f t="shared" si="4"/>
        <v>265.2491</v>
      </c>
      <c r="AA12">
        <f t="shared" si="4"/>
        <v>264.2824</v>
      </c>
      <c r="AB12">
        <f t="shared" si="4"/>
        <v>263.30599999999998</v>
      </c>
      <c r="AC12">
        <f t="shared" si="4"/>
        <v>262.32</v>
      </c>
      <c r="AD12">
        <f t="shared" si="4"/>
        <v>261.32440000000003</v>
      </c>
      <c r="AE12">
        <f t="shared" si="4"/>
        <v>260.31939999999997</v>
      </c>
      <c r="AF12">
        <f t="shared" si="4"/>
        <v>259.30500000000001</v>
      </c>
      <c r="AG12">
        <f t="shared" si="4"/>
        <v>258.28129999999999</v>
      </c>
      <c r="AH12">
        <f t="shared" si="4"/>
        <v>257.24849999999998</v>
      </c>
      <c r="AI12">
        <f t="shared" si="4"/>
        <v>256.20650000000001</v>
      </c>
      <c r="AJ12">
        <f t="shared" si="4"/>
        <v>255.15559999999999</v>
      </c>
      <c r="AK12">
        <f t="shared" si="4"/>
        <v>254.0958</v>
      </c>
      <c r="AL12">
        <f t="shared" si="4"/>
        <v>253.02709999999999</v>
      </c>
      <c r="AM12">
        <f t="shared" si="4"/>
        <v>251.94980000000001</v>
      </c>
      <c r="AN12">
        <f t="shared" si="4"/>
        <v>250.8638</v>
      </c>
      <c r="AO12">
        <f t="shared" si="4"/>
        <v>249.76939999999999</v>
      </c>
      <c r="AP12">
        <f t="shared" si="4"/>
        <v>248.66650000000001</v>
      </c>
      <c r="AQ12">
        <f t="shared" si="4"/>
        <v>247.55529999999999</v>
      </c>
      <c r="AR12">
        <f t="shared" si="4"/>
        <v>246.4359</v>
      </c>
      <c r="AS12">
        <f t="shared" si="4"/>
        <v>245.30840000000001</v>
      </c>
      <c r="AT12">
        <f t="shared" si="4"/>
        <v>244.173</v>
      </c>
      <c r="AU12">
        <f t="shared" si="4"/>
        <v>243.02969999999999</v>
      </c>
      <c r="AV12">
        <f t="shared" si="4"/>
        <v>241.87860000000001</v>
      </c>
      <c r="AW12">
        <f t="shared" si="4"/>
        <v>240.7199</v>
      </c>
      <c r="AX12">
        <f t="shared" si="4"/>
        <v>239.55359999999999</v>
      </c>
      <c r="AY12">
        <f t="shared" si="4"/>
        <v>238.38</v>
      </c>
      <c r="AZ12">
        <f t="shared" si="4"/>
        <v>237.19900000000001</v>
      </c>
      <c r="BA12">
        <f t="shared" si="4"/>
        <v>236.01089999999999</v>
      </c>
      <c r="BB12">
        <f t="shared" si="4"/>
        <v>234.8158</v>
      </c>
      <c r="BC12">
        <f t="shared" si="4"/>
        <v>233.61369999999999</v>
      </c>
      <c r="BD12">
        <f t="shared" si="4"/>
        <v>232.4049</v>
      </c>
      <c r="BE12">
        <f t="shared" si="4"/>
        <v>231.18940000000001</v>
      </c>
      <c r="BF12">
        <f t="shared" si="4"/>
        <v>229.9674</v>
      </c>
      <c r="BG12">
        <f t="shared" si="4"/>
        <v>228.739</v>
      </c>
      <c r="BH12">
        <f t="shared" si="4"/>
        <v>227.5044</v>
      </c>
      <c r="BI12">
        <f t="shared" si="4"/>
        <v>226.2636</v>
      </c>
      <c r="BJ12">
        <f t="shared" si="4"/>
        <v>225.01689999999999</v>
      </c>
      <c r="BK12">
        <f t="shared" si="4"/>
        <v>223.76439999999999</v>
      </c>
      <c r="BL12">
        <f t="shared" si="4"/>
        <v>222.50620000000001</v>
      </c>
      <c r="BM12">
        <f t="shared" si="4"/>
        <v>221.24250000000001</v>
      </c>
      <c r="BN12">
        <f t="shared" si="5"/>
        <v>219.9734</v>
      </c>
      <c r="BO12">
        <f t="shared" si="5"/>
        <v>218.69909999999999</v>
      </c>
      <c r="BP12">
        <f t="shared" si="5"/>
        <v>217.41980000000001</v>
      </c>
      <c r="BQ12">
        <f t="shared" si="5"/>
        <v>216.13550000000001</v>
      </c>
      <c r="BR12">
        <f t="shared" si="5"/>
        <v>214.8466</v>
      </c>
      <c r="BS12">
        <f t="shared" si="5"/>
        <v>213.5531</v>
      </c>
      <c r="BT12">
        <f t="shared" si="5"/>
        <v>212.2552</v>
      </c>
      <c r="BU12">
        <f t="shared" si="5"/>
        <v>210.95310000000001</v>
      </c>
      <c r="BV12">
        <f t="shared" si="5"/>
        <v>209.64699999999999</v>
      </c>
      <c r="BW12">
        <f t="shared" si="5"/>
        <v>208.33709999999999</v>
      </c>
      <c r="BX12">
        <f t="shared" si="5"/>
        <v>207.02340000000001</v>
      </c>
      <c r="BY12">
        <f t="shared" si="5"/>
        <v>205.7063</v>
      </c>
      <c r="BZ12">
        <f t="shared" si="5"/>
        <v>204.38589999999999</v>
      </c>
      <c r="CA12">
        <f t="shared" si="5"/>
        <v>203.0624</v>
      </c>
      <c r="CB12">
        <f t="shared" si="5"/>
        <v>201.73609999999999</v>
      </c>
      <c r="CC12">
        <f t="shared" si="5"/>
        <v>200.40700000000001</v>
      </c>
      <c r="CD12">
        <f t="shared" si="5"/>
        <v>199.07550000000001</v>
      </c>
      <c r="CE12">
        <f t="shared" si="5"/>
        <v>197.74170000000001</v>
      </c>
      <c r="CF12">
        <f t="shared" si="5"/>
        <v>196.4058</v>
      </c>
      <c r="CG12">
        <f t="shared" si="5"/>
        <v>195.06809999999999</v>
      </c>
      <c r="CH12">
        <f t="shared" si="5"/>
        <v>193.72890000000001</v>
      </c>
      <c r="CI12">
        <f t="shared" si="5"/>
        <v>192.38820000000001</v>
      </c>
      <c r="CJ12">
        <f t="shared" si="5"/>
        <v>191.04640000000001</v>
      </c>
      <c r="CK12">
        <f t="shared" si="5"/>
        <v>189.7038</v>
      </c>
      <c r="CL12">
        <f t="shared" si="5"/>
        <v>188.3604</v>
      </c>
      <c r="CM12">
        <f t="shared" si="5"/>
        <v>187.01669999999999</v>
      </c>
      <c r="CN12">
        <f t="shared" si="5"/>
        <v>185.6728</v>
      </c>
      <c r="CO12">
        <f t="shared" si="5"/>
        <v>184.32910000000001</v>
      </c>
      <c r="CP12">
        <f t="shared" si="5"/>
        <v>182.98570000000001</v>
      </c>
      <c r="CQ12">
        <f t="shared" si="5"/>
        <v>181.6429</v>
      </c>
      <c r="CR12">
        <f t="shared" si="5"/>
        <v>180.30119999999999</v>
      </c>
      <c r="CS12">
        <f t="shared" si="5"/>
        <v>178.9606</v>
      </c>
      <c r="CT12">
        <f t="shared" si="5"/>
        <v>177.6216</v>
      </c>
      <c r="CU12">
        <f t="shared" si="5"/>
        <v>176.28440000000001</v>
      </c>
      <c r="CV12">
        <f t="shared" si="5"/>
        <v>174.94929999999999</v>
      </c>
      <c r="CW12">
        <f t="shared" si="5"/>
        <v>173.61660000000001</v>
      </c>
    </row>
    <row r="13" spans="1:101" x14ac:dyDescent="0.3">
      <c r="A13">
        <f t="shared" si="6"/>
        <v>173.6165</v>
      </c>
      <c r="B13">
        <f t="shared" ref="B13:BM14" si="7">B5*1</f>
        <v>174.94919999999999</v>
      </c>
      <c r="C13">
        <f t="shared" si="7"/>
        <v>176.2843</v>
      </c>
      <c r="D13">
        <f t="shared" si="7"/>
        <v>177.6215</v>
      </c>
      <c r="E13">
        <f t="shared" si="7"/>
        <v>178.9606</v>
      </c>
      <c r="F13">
        <f t="shared" si="7"/>
        <v>180.30109999999999</v>
      </c>
      <c r="G13">
        <f t="shared" si="7"/>
        <v>181.6429</v>
      </c>
      <c r="H13">
        <f t="shared" si="7"/>
        <v>182.98560000000001</v>
      </c>
      <c r="I13">
        <f t="shared" si="7"/>
        <v>184.32900000000001</v>
      </c>
      <c r="J13">
        <f t="shared" si="7"/>
        <v>185.67269999999999</v>
      </c>
      <c r="K13">
        <f t="shared" si="7"/>
        <v>187.01660000000001</v>
      </c>
      <c r="L13">
        <f t="shared" si="7"/>
        <v>188.3603</v>
      </c>
      <c r="M13">
        <f t="shared" si="7"/>
        <v>189.7037</v>
      </c>
      <c r="N13">
        <f t="shared" si="7"/>
        <v>191.04640000000001</v>
      </c>
      <c r="O13">
        <f t="shared" si="7"/>
        <v>192.38820000000001</v>
      </c>
      <c r="P13">
        <f t="shared" si="7"/>
        <v>193.72880000000001</v>
      </c>
      <c r="Q13">
        <f t="shared" si="7"/>
        <v>195.06809999999999</v>
      </c>
      <c r="R13">
        <f t="shared" si="7"/>
        <v>196.4057</v>
      </c>
      <c r="S13">
        <f t="shared" si="7"/>
        <v>197.74160000000001</v>
      </c>
      <c r="T13">
        <f t="shared" si="7"/>
        <v>199.0754</v>
      </c>
      <c r="U13">
        <f t="shared" si="7"/>
        <v>200.40690000000001</v>
      </c>
      <c r="V13">
        <f t="shared" si="7"/>
        <v>201.73599999999999</v>
      </c>
      <c r="W13">
        <f t="shared" si="7"/>
        <v>203.0624</v>
      </c>
      <c r="X13">
        <f t="shared" si="7"/>
        <v>204.38579999999999</v>
      </c>
      <c r="Y13">
        <f t="shared" si="7"/>
        <v>205.7063</v>
      </c>
      <c r="Z13">
        <f t="shared" si="7"/>
        <v>207.02340000000001</v>
      </c>
      <c r="AA13">
        <f t="shared" si="7"/>
        <v>208.33699999999999</v>
      </c>
      <c r="AB13">
        <f t="shared" si="7"/>
        <v>209.64699999999999</v>
      </c>
      <c r="AC13">
        <f t="shared" si="7"/>
        <v>210.95310000000001</v>
      </c>
      <c r="AD13">
        <f t="shared" si="7"/>
        <v>212.2552</v>
      </c>
      <c r="AE13">
        <f t="shared" si="7"/>
        <v>213.553</v>
      </c>
      <c r="AF13">
        <f t="shared" si="7"/>
        <v>214.84649999999999</v>
      </c>
      <c r="AG13">
        <f t="shared" si="7"/>
        <v>216.13550000000001</v>
      </c>
      <c r="AH13">
        <f t="shared" si="7"/>
        <v>217.41970000000001</v>
      </c>
      <c r="AI13">
        <f t="shared" si="7"/>
        <v>218.69909999999999</v>
      </c>
      <c r="AJ13">
        <f t="shared" si="7"/>
        <v>219.97329999999999</v>
      </c>
      <c r="AK13">
        <f t="shared" si="7"/>
        <v>221.2424</v>
      </c>
      <c r="AL13">
        <f t="shared" si="7"/>
        <v>222.5061</v>
      </c>
      <c r="AM13">
        <f t="shared" si="7"/>
        <v>223.76429999999999</v>
      </c>
      <c r="AN13">
        <f t="shared" si="7"/>
        <v>225.01679999999999</v>
      </c>
      <c r="AO13">
        <f t="shared" si="7"/>
        <v>226.26349999999999</v>
      </c>
      <c r="AP13">
        <f t="shared" si="7"/>
        <v>227.5043</v>
      </c>
      <c r="AQ13">
        <f t="shared" si="7"/>
        <v>228.7389</v>
      </c>
      <c r="AR13">
        <f t="shared" si="7"/>
        <v>229.96729999999999</v>
      </c>
      <c r="AS13">
        <f t="shared" si="7"/>
        <v>231.1893</v>
      </c>
      <c r="AT13">
        <f t="shared" si="7"/>
        <v>232.40479999999999</v>
      </c>
      <c r="AU13">
        <f t="shared" si="7"/>
        <v>233.61369999999999</v>
      </c>
      <c r="AV13">
        <f t="shared" si="7"/>
        <v>234.81569999999999</v>
      </c>
      <c r="AW13">
        <f t="shared" si="7"/>
        <v>236.01089999999999</v>
      </c>
      <c r="AX13">
        <f t="shared" si="7"/>
        <v>237.19900000000001</v>
      </c>
      <c r="AY13">
        <f t="shared" si="7"/>
        <v>238.37989999999999</v>
      </c>
      <c r="AZ13">
        <f t="shared" si="7"/>
        <v>239.55359999999999</v>
      </c>
      <c r="BA13">
        <f t="shared" si="7"/>
        <v>240.71979999999999</v>
      </c>
      <c r="BB13">
        <f t="shared" si="7"/>
        <v>241.8785</v>
      </c>
      <c r="BC13">
        <f t="shared" si="7"/>
        <v>243.02959999999999</v>
      </c>
      <c r="BD13">
        <f t="shared" si="7"/>
        <v>244.1729</v>
      </c>
      <c r="BE13">
        <f t="shared" si="7"/>
        <v>245.30840000000001</v>
      </c>
      <c r="BF13">
        <f t="shared" si="7"/>
        <v>246.4359</v>
      </c>
      <c r="BG13">
        <f t="shared" si="7"/>
        <v>247.55520000000001</v>
      </c>
      <c r="BH13">
        <f t="shared" si="7"/>
        <v>248.66640000000001</v>
      </c>
      <c r="BI13">
        <f t="shared" si="7"/>
        <v>249.76929999999999</v>
      </c>
      <c r="BJ13">
        <f t="shared" si="7"/>
        <v>250.8638</v>
      </c>
      <c r="BK13">
        <f t="shared" si="7"/>
        <v>251.94980000000001</v>
      </c>
      <c r="BL13">
        <f t="shared" si="7"/>
        <v>253.02709999999999</v>
      </c>
      <c r="BM13">
        <f t="shared" si="7"/>
        <v>254.09569999999999</v>
      </c>
      <c r="BN13">
        <f t="shared" si="5"/>
        <v>255.15559999999999</v>
      </c>
      <c r="BO13">
        <f t="shared" si="5"/>
        <v>256.20650000000001</v>
      </c>
      <c r="BP13">
        <f t="shared" si="5"/>
        <v>257.2484</v>
      </c>
      <c r="BQ13">
        <f t="shared" si="5"/>
        <v>258.28129999999999</v>
      </c>
      <c r="BR13">
        <f t="shared" si="5"/>
        <v>259.30489999999998</v>
      </c>
      <c r="BS13">
        <f t="shared" si="5"/>
        <v>260.3193</v>
      </c>
      <c r="BT13">
        <f t="shared" si="5"/>
        <v>261.32440000000003</v>
      </c>
      <c r="BU13">
        <f t="shared" si="5"/>
        <v>262.31990000000002</v>
      </c>
      <c r="BV13">
        <f t="shared" si="5"/>
        <v>263.30599999999998</v>
      </c>
      <c r="BW13">
        <f t="shared" si="5"/>
        <v>264.2824</v>
      </c>
      <c r="BX13">
        <f t="shared" si="5"/>
        <v>265.2491</v>
      </c>
      <c r="BY13">
        <f t="shared" si="5"/>
        <v>266.20609999999999</v>
      </c>
      <c r="BZ13">
        <f t="shared" si="5"/>
        <v>267.15309999999999</v>
      </c>
      <c r="CA13">
        <f t="shared" si="5"/>
        <v>268.09019999999998</v>
      </c>
      <c r="CB13">
        <f t="shared" si="5"/>
        <v>269.01740000000001</v>
      </c>
      <c r="CC13">
        <f t="shared" si="5"/>
        <v>269.93439999999998</v>
      </c>
      <c r="CD13">
        <f t="shared" si="5"/>
        <v>270.84120000000001</v>
      </c>
      <c r="CE13">
        <f t="shared" si="5"/>
        <v>271.73779999999999</v>
      </c>
      <c r="CF13">
        <f t="shared" si="5"/>
        <v>272.6241</v>
      </c>
      <c r="CG13">
        <f t="shared" si="5"/>
        <v>273.49990000000003</v>
      </c>
      <c r="CH13">
        <f t="shared" si="5"/>
        <v>274.36540000000002</v>
      </c>
      <c r="CI13">
        <f t="shared" si="5"/>
        <v>275.22019999999998</v>
      </c>
      <c r="CJ13">
        <f t="shared" si="5"/>
        <v>276.06450000000001</v>
      </c>
      <c r="CK13">
        <f t="shared" si="5"/>
        <v>276.89819999999997</v>
      </c>
      <c r="CL13">
        <f t="shared" si="5"/>
        <v>277.72109999999998</v>
      </c>
      <c r="CM13">
        <f t="shared" si="5"/>
        <v>278.53309999999999</v>
      </c>
      <c r="CN13">
        <f t="shared" si="5"/>
        <v>279.33440000000002</v>
      </c>
      <c r="CO13">
        <f t="shared" si="5"/>
        <v>280.12470000000002</v>
      </c>
      <c r="CP13">
        <f t="shared" si="5"/>
        <v>280.904</v>
      </c>
      <c r="CQ13">
        <f t="shared" si="5"/>
        <v>281.67230000000001</v>
      </c>
      <c r="CR13">
        <f t="shared" si="5"/>
        <v>282.42950000000002</v>
      </c>
      <c r="CS13">
        <f t="shared" si="5"/>
        <v>283.1755</v>
      </c>
      <c r="CT13">
        <f t="shared" si="5"/>
        <v>283.91030000000001</v>
      </c>
      <c r="CU13">
        <f t="shared" si="5"/>
        <v>284.63389999999998</v>
      </c>
      <c r="CV13">
        <f t="shared" si="5"/>
        <v>285.346</v>
      </c>
      <c r="CW13">
        <f t="shared" si="5"/>
        <v>286.04680000000002</v>
      </c>
    </row>
    <row r="14" spans="1:101" x14ac:dyDescent="0.3">
      <c r="A14">
        <f t="shared" si="6"/>
        <v>166.40819999999999</v>
      </c>
      <c r="B14">
        <f t="shared" si="7"/>
        <v>167.79810000000001</v>
      </c>
      <c r="C14">
        <f t="shared" si="7"/>
        <v>169.18969999999999</v>
      </c>
      <c r="D14">
        <f t="shared" si="7"/>
        <v>170.58260000000001</v>
      </c>
      <c r="E14">
        <f t="shared" si="7"/>
        <v>171.97640000000001</v>
      </c>
      <c r="F14">
        <f t="shared" si="7"/>
        <v>173.37100000000001</v>
      </c>
      <c r="G14">
        <f t="shared" si="7"/>
        <v>174.76599999999999</v>
      </c>
      <c r="H14">
        <f t="shared" si="7"/>
        <v>176.1611</v>
      </c>
      <c r="I14">
        <f t="shared" si="7"/>
        <v>177.55609999999999</v>
      </c>
      <c r="J14">
        <f t="shared" si="7"/>
        <v>178.95070000000001</v>
      </c>
      <c r="K14">
        <f t="shared" si="7"/>
        <v>180.34469999999999</v>
      </c>
      <c r="L14">
        <f t="shared" si="7"/>
        <v>181.73779999999999</v>
      </c>
      <c r="M14">
        <f t="shared" si="7"/>
        <v>183.12970000000001</v>
      </c>
      <c r="N14">
        <f t="shared" si="7"/>
        <v>184.52019999999999</v>
      </c>
      <c r="O14">
        <f t="shared" si="7"/>
        <v>185.9091</v>
      </c>
      <c r="P14">
        <f t="shared" si="7"/>
        <v>187.2961</v>
      </c>
      <c r="Q14">
        <f t="shared" si="7"/>
        <v>188.68109999999999</v>
      </c>
      <c r="R14">
        <f t="shared" si="7"/>
        <v>190.06370000000001</v>
      </c>
      <c r="S14">
        <f t="shared" si="7"/>
        <v>191.44380000000001</v>
      </c>
      <c r="T14">
        <f t="shared" si="7"/>
        <v>192.8212</v>
      </c>
      <c r="U14">
        <f t="shared" si="7"/>
        <v>194.19560000000001</v>
      </c>
      <c r="V14">
        <f t="shared" si="7"/>
        <v>195.5669</v>
      </c>
      <c r="W14">
        <f t="shared" si="7"/>
        <v>196.9348</v>
      </c>
      <c r="X14">
        <f t="shared" si="7"/>
        <v>198.29920000000001</v>
      </c>
      <c r="Y14">
        <f t="shared" si="7"/>
        <v>199.65989999999999</v>
      </c>
      <c r="Z14">
        <f t="shared" si="7"/>
        <v>201.01660000000001</v>
      </c>
      <c r="AA14">
        <f t="shared" si="7"/>
        <v>202.36920000000001</v>
      </c>
      <c r="AB14">
        <f t="shared" si="7"/>
        <v>203.7176</v>
      </c>
      <c r="AC14">
        <f t="shared" si="7"/>
        <v>205.0615</v>
      </c>
      <c r="AD14">
        <f t="shared" si="7"/>
        <v>206.4007</v>
      </c>
      <c r="AE14">
        <f t="shared" si="7"/>
        <v>207.73519999999999</v>
      </c>
      <c r="AF14">
        <f t="shared" si="7"/>
        <v>209.06469999999999</v>
      </c>
      <c r="AG14">
        <f t="shared" si="7"/>
        <v>210.38910000000001</v>
      </c>
      <c r="AH14">
        <f t="shared" si="7"/>
        <v>211.7081</v>
      </c>
      <c r="AI14">
        <f t="shared" si="7"/>
        <v>213.02180000000001</v>
      </c>
      <c r="AJ14">
        <f t="shared" si="7"/>
        <v>214.32980000000001</v>
      </c>
      <c r="AK14">
        <f t="shared" si="7"/>
        <v>215.63210000000001</v>
      </c>
      <c r="AL14">
        <f t="shared" si="7"/>
        <v>216.92850000000001</v>
      </c>
      <c r="AM14">
        <f t="shared" si="7"/>
        <v>218.21889999999999</v>
      </c>
      <c r="AN14">
        <f t="shared" si="7"/>
        <v>219.50299999999999</v>
      </c>
      <c r="AO14">
        <f t="shared" si="7"/>
        <v>220.7809</v>
      </c>
      <c r="AP14">
        <f t="shared" si="7"/>
        <v>222.0522</v>
      </c>
      <c r="AQ14">
        <f t="shared" si="7"/>
        <v>223.31700000000001</v>
      </c>
      <c r="AR14">
        <f t="shared" si="7"/>
        <v>224.57509999999999</v>
      </c>
      <c r="AS14">
        <f t="shared" si="7"/>
        <v>225.8263</v>
      </c>
      <c r="AT14">
        <f t="shared" si="7"/>
        <v>227.07050000000001</v>
      </c>
      <c r="AU14">
        <f t="shared" si="7"/>
        <v>228.30760000000001</v>
      </c>
      <c r="AV14">
        <f t="shared" si="7"/>
        <v>229.53739999999999</v>
      </c>
      <c r="AW14">
        <f t="shared" si="7"/>
        <v>230.75989999999999</v>
      </c>
      <c r="AX14">
        <f t="shared" si="7"/>
        <v>231.97489999999999</v>
      </c>
      <c r="AY14">
        <f t="shared" si="7"/>
        <v>233.1823</v>
      </c>
      <c r="AZ14">
        <f t="shared" si="7"/>
        <v>234.38200000000001</v>
      </c>
      <c r="BA14">
        <f t="shared" si="7"/>
        <v>235.57380000000001</v>
      </c>
      <c r="BB14">
        <f t="shared" si="7"/>
        <v>236.7578</v>
      </c>
      <c r="BC14">
        <f t="shared" si="7"/>
        <v>237.93360000000001</v>
      </c>
      <c r="BD14">
        <f t="shared" si="7"/>
        <v>239.10130000000001</v>
      </c>
      <c r="BE14">
        <f t="shared" si="7"/>
        <v>240.26070000000001</v>
      </c>
      <c r="BF14">
        <f t="shared" si="7"/>
        <v>241.4118</v>
      </c>
      <c r="BG14">
        <f t="shared" si="7"/>
        <v>242.55430000000001</v>
      </c>
      <c r="BH14">
        <f t="shared" si="7"/>
        <v>243.6883</v>
      </c>
      <c r="BI14">
        <f t="shared" si="7"/>
        <v>244.81360000000001</v>
      </c>
      <c r="BJ14">
        <f t="shared" si="7"/>
        <v>245.93010000000001</v>
      </c>
      <c r="BK14">
        <f t="shared" si="7"/>
        <v>247.0378</v>
      </c>
      <c r="BL14">
        <f t="shared" si="7"/>
        <v>248.13650000000001</v>
      </c>
      <c r="BM14">
        <f t="shared" si="7"/>
        <v>249.2261</v>
      </c>
      <c r="BN14">
        <f t="shared" si="5"/>
        <v>250.3065</v>
      </c>
      <c r="BO14">
        <f t="shared" si="5"/>
        <v>251.3777</v>
      </c>
      <c r="BP14">
        <f t="shared" si="5"/>
        <v>252.43960000000001</v>
      </c>
      <c r="BQ14">
        <f t="shared" si="5"/>
        <v>253.49209999999999</v>
      </c>
      <c r="BR14">
        <f t="shared" si="5"/>
        <v>254.535</v>
      </c>
      <c r="BS14">
        <f t="shared" si="5"/>
        <v>255.56829999999999</v>
      </c>
      <c r="BT14">
        <f t="shared" si="5"/>
        <v>256.59190000000001</v>
      </c>
      <c r="BU14">
        <f t="shared" si="5"/>
        <v>257.60579999999999</v>
      </c>
      <c r="BV14">
        <f t="shared" si="5"/>
        <v>258.60980000000001</v>
      </c>
      <c r="BW14">
        <f t="shared" si="5"/>
        <v>259.60390000000001</v>
      </c>
      <c r="BX14">
        <f t="shared" si="5"/>
        <v>260.58800000000002</v>
      </c>
      <c r="BY14">
        <f t="shared" si="5"/>
        <v>261.56200000000001</v>
      </c>
      <c r="BZ14">
        <f t="shared" si="5"/>
        <v>262.5258</v>
      </c>
      <c r="CA14">
        <f t="shared" si="5"/>
        <v>263.4794</v>
      </c>
      <c r="CB14">
        <f t="shared" si="5"/>
        <v>264.42259999999999</v>
      </c>
      <c r="CC14">
        <f t="shared" si="5"/>
        <v>265.35550000000001</v>
      </c>
      <c r="CD14">
        <f t="shared" si="5"/>
        <v>266.27800000000002</v>
      </c>
      <c r="CE14">
        <f t="shared" si="5"/>
        <v>267.18990000000002</v>
      </c>
      <c r="CF14">
        <f t="shared" si="5"/>
        <v>268.09120000000001</v>
      </c>
      <c r="CG14">
        <f t="shared" si="5"/>
        <v>268.98180000000002</v>
      </c>
      <c r="CH14">
        <f t="shared" si="5"/>
        <v>269.86169999999998</v>
      </c>
      <c r="CI14">
        <f t="shared" si="5"/>
        <v>270.73079999999999</v>
      </c>
      <c r="CJ14">
        <f t="shared" si="5"/>
        <v>271.58909999999997</v>
      </c>
      <c r="CK14">
        <f t="shared" si="5"/>
        <v>272.43639999999999</v>
      </c>
      <c r="CL14">
        <f t="shared" si="5"/>
        <v>273.27269999999999</v>
      </c>
      <c r="CM14">
        <f t="shared" si="5"/>
        <v>274.09800000000001</v>
      </c>
      <c r="CN14">
        <f t="shared" si="5"/>
        <v>274.91219999999998</v>
      </c>
      <c r="CO14">
        <f t="shared" si="5"/>
        <v>275.71510000000001</v>
      </c>
      <c r="CP14">
        <f t="shared" si="5"/>
        <v>276.50689999999997</v>
      </c>
      <c r="CQ14">
        <f t="shared" si="5"/>
        <v>277.28739999999999</v>
      </c>
      <c r="CR14">
        <f t="shared" si="5"/>
        <v>278.05650000000003</v>
      </c>
      <c r="CS14">
        <f t="shared" si="5"/>
        <v>278.81420000000003</v>
      </c>
      <c r="CT14">
        <f t="shared" si="5"/>
        <v>279.56049999999999</v>
      </c>
      <c r="CU14">
        <f t="shared" si="5"/>
        <v>280.29520000000002</v>
      </c>
      <c r="CV14">
        <f t="shared" si="5"/>
        <v>281.01839999999999</v>
      </c>
      <c r="CW14">
        <f t="shared" si="5"/>
        <v>281.73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EC8C-86BC-434D-B20A-C8E3FB883D33}">
  <dimension ref="A1:CW9"/>
  <sheetViews>
    <sheetView workbookViewId="0">
      <selection activeCell="A8" sqref="A8:XFD9"/>
    </sheetView>
  </sheetViews>
  <sheetFormatPr defaultRowHeight="14.4" x14ac:dyDescent="0.3"/>
  <cols>
    <col min="1" max="9" width="10.77734375" bestFit="1" customWidth="1"/>
    <col min="10" max="49" width="11.77734375" bestFit="1" customWidth="1"/>
    <col min="50" max="50" width="12.88671875" bestFit="1" customWidth="1"/>
    <col min="51" max="99" width="11.77734375" bestFit="1" customWidth="1"/>
    <col min="100" max="101" width="12.77734375" bestFit="1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1957</v>
      </c>
      <c r="B2" t="s">
        <v>1958</v>
      </c>
      <c r="C2" t="s">
        <v>1959</v>
      </c>
      <c r="D2" t="s">
        <v>1960</v>
      </c>
      <c r="E2" t="s">
        <v>1961</v>
      </c>
      <c r="F2" t="s">
        <v>1962</v>
      </c>
      <c r="G2" t="s">
        <v>1963</v>
      </c>
      <c r="H2" t="s">
        <v>1964</v>
      </c>
      <c r="I2" t="s">
        <v>1965</v>
      </c>
      <c r="J2" t="s">
        <v>1966</v>
      </c>
      <c r="K2" t="s">
        <v>1967</v>
      </c>
      <c r="L2" t="s">
        <v>1968</v>
      </c>
      <c r="M2" t="s">
        <v>1969</v>
      </c>
      <c r="N2" t="s">
        <v>1970</v>
      </c>
      <c r="O2" t="s">
        <v>1971</v>
      </c>
      <c r="P2" t="s">
        <v>1972</v>
      </c>
      <c r="Q2" t="s">
        <v>1973</v>
      </c>
      <c r="R2" t="s">
        <v>1974</v>
      </c>
      <c r="S2" t="s">
        <v>1975</v>
      </c>
      <c r="T2" t="s">
        <v>1976</v>
      </c>
      <c r="U2" t="s">
        <v>1977</v>
      </c>
      <c r="V2" t="s">
        <v>1978</v>
      </c>
      <c r="W2" t="s">
        <v>1979</v>
      </c>
      <c r="X2" t="s">
        <v>1980</v>
      </c>
      <c r="Y2" t="s">
        <v>1981</v>
      </c>
      <c r="Z2" t="s">
        <v>1982</v>
      </c>
      <c r="AA2" t="s">
        <v>1983</v>
      </c>
      <c r="AB2" t="s">
        <v>1984</v>
      </c>
      <c r="AC2" t="s">
        <v>1985</v>
      </c>
      <c r="AD2" t="s">
        <v>1986</v>
      </c>
      <c r="AE2" t="s">
        <v>1987</v>
      </c>
      <c r="AF2" t="s">
        <v>1988</v>
      </c>
      <c r="AG2" t="s">
        <v>1989</v>
      </c>
      <c r="AH2" t="s">
        <v>1990</v>
      </c>
      <c r="AI2" t="s">
        <v>1991</v>
      </c>
      <c r="AJ2" t="s">
        <v>1992</v>
      </c>
      <c r="AK2" t="s">
        <v>1993</v>
      </c>
      <c r="AL2" t="s">
        <v>1994</v>
      </c>
      <c r="AM2" t="s">
        <v>1995</v>
      </c>
      <c r="AN2" t="s">
        <v>1996</v>
      </c>
      <c r="AO2" t="s">
        <v>1997</v>
      </c>
      <c r="AP2" t="s">
        <v>1998</v>
      </c>
      <c r="AQ2" t="s">
        <v>1999</v>
      </c>
      <c r="AR2" t="s">
        <v>2000</v>
      </c>
      <c r="AS2" t="s">
        <v>2001</v>
      </c>
      <c r="AT2" t="s">
        <v>2002</v>
      </c>
      <c r="AU2" t="s">
        <v>2003</v>
      </c>
      <c r="AV2" t="s">
        <v>2004</v>
      </c>
      <c r="AW2" t="s">
        <v>2005</v>
      </c>
      <c r="AX2" t="s">
        <v>2006</v>
      </c>
      <c r="AY2" t="s">
        <v>2007</v>
      </c>
      <c r="AZ2" t="s">
        <v>2008</v>
      </c>
      <c r="BA2" t="s">
        <v>2009</v>
      </c>
      <c r="BB2" t="s">
        <v>2010</v>
      </c>
      <c r="BC2" t="s">
        <v>2011</v>
      </c>
      <c r="BD2" t="s">
        <v>2012</v>
      </c>
      <c r="BE2" t="s">
        <v>2013</v>
      </c>
      <c r="BF2" t="s">
        <v>2014</v>
      </c>
      <c r="BG2" t="s">
        <v>2015</v>
      </c>
      <c r="BH2" t="s">
        <v>2016</v>
      </c>
      <c r="BI2" t="s">
        <v>2017</v>
      </c>
      <c r="BJ2" t="s">
        <v>2018</v>
      </c>
      <c r="BK2" t="s">
        <v>2019</v>
      </c>
      <c r="BL2" t="s">
        <v>2020</v>
      </c>
      <c r="BM2" t="s">
        <v>2021</v>
      </c>
      <c r="BN2" t="s">
        <v>2022</v>
      </c>
      <c r="BO2" t="s">
        <v>2023</v>
      </c>
      <c r="BP2" t="s">
        <v>2024</v>
      </c>
      <c r="BQ2" t="s">
        <v>2025</v>
      </c>
      <c r="BR2" t="s">
        <v>2026</v>
      </c>
      <c r="BS2" t="s">
        <v>2027</v>
      </c>
      <c r="BT2" t="s">
        <v>2028</v>
      </c>
      <c r="BU2" t="s">
        <v>2029</v>
      </c>
      <c r="BV2" t="s">
        <v>2030</v>
      </c>
      <c r="BW2" t="s">
        <v>2031</v>
      </c>
      <c r="BX2" t="s">
        <v>2032</v>
      </c>
      <c r="BY2" t="s">
        <v>2033</v>
      </c>
      <c r="BZ2" t="s">
        <v>2034</v>
      </c>
      <c r="CA2" t="s">
        <v>2035</v>
      </c>
      <c r="CB2" t="s">
        <v>2036</v>
      </c>
      <c r="CC2" t="s">
        <v>2037</v>
      </c>
      <c r="CD2" t="s">
        <v>2038</v>
      </c>
      <c r="CE2" t="s">
        <v>2039</v>
      </c>
      <c r="CF2" t="s">
        <v>2040</v>
      </c>
      <c r="CG2" t="s">
        <v>2041</v>
      </c>
      <c r="CH2" t="s">
        <v>2042</v>
      </c>
      <c r="CI2" t="s">
        <v>2043</v>
      </c>
      <c r="CJ2" t="s">
        <v>2044</v>
      </c>
      <c r="CK2" t="s">
        <v>2045</v>
      </c>
      <c r="CL2" t="s">
        <v>2046</v>
      </c>
      <c r="CM2" t="s">
        <v>2047</v>
      </c>
      <c r="CN2" t="s">
        <v>2048</v>
      </c>
      <c r="CO2" t="s">
        <v>2049</v>
      </c>
      <c r="CP2" t="s">
        <v>2050</v>
      </c>
      <c r="CQ2" t="s">
        <v>2051</v>
      </c>
      <c r="CR2" t="s">
        <v>2340</v>
      </c>
      <c r="CS2" t="s">
        <v>2341</v>
      </c>
      <c r="CT2" t="s">
        <v>2342</v>
      </c>
      <c r="CU2" t="s">
        <v>2343</v>
      </c>
      <c r="CV2" t="s">
        <v>2344</v>
      </c>
      <c r="CW2" t="s">
        <v>2345</v>
      </c>
    </row>
    <row r="3" spans="1:101" x14ac:dyDescent="0.3">
      <c r="A3" t="s">
        <v>2346</v>
      </c>
      <c r="B3" t="s">
        <v>2347</v>
      </c>
      <c r="C3" t="s">
        <v>2348</v>
      </c>
      <c r="D3" t="s">
        <v>2349</v>
      </c>
      <c r="E3" t="s">
        <v>2350</v>
      </c>
      <c r="F3" t="s">
        <v>2351</v>
      </c>
      <c r="G3" t="s">
        <v>2352</v>
      </c>
      <c r="H3" t="s">
        <v>2353</v>
      </c>
      <c r="I3" t="s">
        <v>2354</v>
      </c>
      <c r="J3" t="s">
        <v>2355</v>
      </c>
      <c r="K3" t="s">
        <v>2356</v>
      </c>
      <c r="L3" t="s">
        <v>2357</v>
      </c>
      <c r="M3" t="s">
        <v>2358</v>
      </c>
      <c r="N3" t="s">
        <v>2359</v>
      </c>
      <c r="O3" t="s">
        <v>2360</v>
      </c>
      <c r="P3" t="s">
        <v>2361</v>
      </c>
      <c r="Q3" t="s">
        <v>2362</v>
      </c>
      <c r="R3" t="s">
        <v>2363</v>
      </c>
      <c r="S3" t="s">
        <v>2364</v>
      </c>
      <c r="T3" t="s">
        <v>2365</v>
      </c>
      <c r="U3" t="s">
        <v>2366</v>
      </c>
      <c r="V3" t="s">
        <v>2367</v>
      </c>
      <c r="W3" t="s">
        <v>2368</v>
      </c>
      <c r="X3" t="s">
        <v>2369</v>
      </c>
      <c r="Y3" t="s">
        <v>2370</v>
      </c>
      <c r="Z3" t="s">
        <v>2371</v>
      </c>
      <c r="AA3" t="s">
        <v>2372</v>
      </c>
      <c r="AB3" t="s">
        <v>2373</v>
      </c>
      <c r="AC3" t="s">
        <v>2374</v>
      </c>
      <c r="AD3" t="s">
        <v>2375</v>
      </c>
      <c r="AE3" t="s">
        <v>2376</v>
      </c>
      <c r="AF3" t="s">
        <v>2377</v>
      </c>
      <c r="AG3" t="s">
        <v>2378</v>
      </c>
      <c r="AH3" t="s">
        <v>2379</v>
      </c>
      <c r="AI3" t="s">
        <v>2380</v>
      </c>
      <c r="AJ3" t="s">
        <v>2381</v>
      </c>
      <c r="AK3" t="s">
        <v>2382</v>
      </c>
      <c r="AL3" t="s">
        <v>2383</v>
      </c>
      <c r="AM3" t="s">
        <v>2384</v>
      </c>
      <c r="AN3" t="s">
        <v>2385</v>
      </c>
      <c r="AO3" t="s">
        <v>2386</v>
      </c>
      <c r="AP3" t="s">
        <v>2387</v>
      </c>
      <c r="AQ3" t="s">
        <v>2388</v>
      </c>
      <c r="AR3" t="s">
        <v>2389</v>
      </c>
      <c r="AS3" t="s">
        <v>2390</v>
      </c>
      <c r="AT3" t="s">
        <v>2391</v>
      </c>
      <c r="AU3" t="s">
        <v>2392</v>
      </c>
      <c r="AV3" t="s">
        <v>2393</v>
      </c>
      <c r="AW3" t="s">
        <v>2394</v>
      </c>
      <c r="AX3" t="s">
        <v>2395</v>
      </c>
      <c r="AY3" t="s">
        <v>2396</v>
      </c>
      <c r="AZ3" t="s">
        <v>2397</v>
      </c>
      <c r="BA3" t="s">
        <v>2398</v>
      </c>
      <c r="BB3" t="s">
        <v>2399</v>
      </c>
      <c r="BC3" t="s">
        <v>2400</v>
      </c>
      <c r="BD3" t="s">
        <v>2401</v>
      </c>
      <c r="BE3" t="s">
        <v>2402</v>
      </c>
      <c r="BF3" t="s">
        <v>2403</v>
      </c>
      <c r="BG3" t="s">
        <v>2404</v>
      </c>
      <c r="BH3" t="s">
        <v>2405</v>
      </c>
      <c r="BI3" t="s">
        <v>2406</v>
      </c>
      <c r="BJ3" t="s">
        <v>2407</v>
      </c>
      <c r="BK3" t="s">
        <v>2408</v>
      </c>
      <c r="BL3" t="s">
        <v>2409</v>
      </c>
      <c r="BM3" t="s">
        <v>2410</v>
      </c>
      <c r="BN3" t="s">
        <v>2411</v>
      </c>
      <c r="BO3" t="s">
        <v>2412</v>
      </c>
      <c r="BP3" t="s">
        <v>2413</v>
      </c>
      <c r="BQ3" t="s">
        <v>2414</v>
      </c>
      <c r="BR3" t="s">
        <v>2415</v>
      </c>
      <c r="BS3" t="s">
        <v>2416</v>
      </c>
      <c r="BT3" t="s">
        <v>2417</v>
      </c>
      <c r="BU3" t="s">
        <v>2418</v>
      </c>
      <c r="BV3" t="s">
        <v>2419</v>
      </c>
      <c r="BW3" t="s">
        <v>2420</v>
      </c>
      <c r="BX3" t="s">
        <v>2421</v>
      </c>
      <c r="BY3" t="s">
        <v>2422</v>
      </c>
      <c r="BZ3" t="s">
        <v>2423</v>
      </c>
      <c r="CA3" t="s">
        <v>2424</v>
      </c>
      <c r="CB3" t="s">
        <v>2425</v>
      </c>
      <c r="CC3" t="s">
        <v>2426</v>
      </c>
      <c r="CD3" t="s">
        <v>2427</v>
      </c>
      <c r="CE3" t="s">
        <v>2428</v>
      </c>
      <c r="CF3" t="s">
        <v>2429</v>
      </c>
      <c r="CG3" t="s">
        <v>2430</v>
      </c>
      <c r="CH3" t="s">
        <v>2431</v>
      </c>
      <c r="CI3" t="s">
        <v>2432</v>
      </c>
      <c r="CJ3" t="s">
        <v>2433</v>
      </c>
      <c r="CK3" t="s">
        <v>2434</v>
      </c>
      <c r="CL3" t="s">
        <v>2435</v>
      </c>
      <c r="CM3" t="s">
        <v>2436</v>
      </c>
      <c r="CN3" t="s">
        <v>2437</v>
      </c>
      <c r="CO3" t="s">
        <v>2438</v>
      </c>
      <c r="CP3" t="s">
        <v>2439</v>
      </c>
      <c r="CQ3" t="s">
        <v>2440</v>
      </c>
      <c r="CR3" t="s">
        <v>2441</v>
      </c>
      <c r="CS3" t="s">
        <v>2442</v>
      </c>
      <c r="CT3" t="s">
        <v>2443</v>
      </c>
      <c r="CU3" t="s">
        <v>2444</v>
      </c>
      <c r="CV3" t="s">
        <v>2445</v>
      </c>
      <c r="CW3" t="s">
        <v>2446</v>
      </c>
    </row>
    <row r="4" spans="1:101" x14ac:dyDescent="0.3">
      <c r="A4" t="s">
        <v>2447</v>
      </c>
      <c r="B4" t="s">
        <v>2448</v>
      </c>
      <c r="C4" t="s">
        <v>2449</v>
      </c>
      <c r="D4" t="s">
        <v>2450</v>
      </c>
      <c r="E4" t="s">
        <v>2451</v>
      </c>
      <c r="F4" t="s">
        <v>2452</v>
      </c>
      <c r="G4" t="s">
        <v>2453</v>
      </c>
      <c r="H4" t="s">
        <v>2454</v>
      </c>
      <c r="I4" t="s">
        <v>2455</v>
      </c>
      <c r="J4" t="s">
        <v>2456</v>
      </c>
      <c r="K4" t="s">
        <v>2457</v>
      </c>
      <c r="L4" t="s">
        <v>2458</v>
      </c>
      <c r="M4" t="s">
        <v>2459</v>
      </c>
      <c r="N4" t="s">
        <v>2460</v>
      </c>
      <c r="O4" t="s">
        <v>2461</v>
      </c>
      <c r="P4" t="s">
        <v>2462</v>
      </c>
      <c r="Q4" t="s">
        <v>2463</v>
      </c>
      <c r="R4" t="s">
        <v>2464</v>
      </c>
      <c r="S4" t="s">
        <v>2465</v>
      </c>
      <c r="T4" t="s">
        <v>2466</v>
      </c>
      <c r="U4" t="s">
        <v>2467</v>
      </c>
      <c r="V4" t="s">
        <v>2468</v>
      </c>
      <c r="W4" t="s">
        <v>2469</v>
      </c>
      <c r="X4" t="s">
        <v>2470</v>
      </c>
      <c r="Y4" t="s">
        <v>2471</v>
      </c>
      <c r="Z4" t="s">
        <v>2472</v>
      </c>
      <c r="AA4" t="s">
        <v>2473</v>
      </c>
      <c r="AB4" t="s">
        <v>2474</v>
      </c>
      <c r="AC4" t="s">
        <v>2475</v>
      </c>
      <c r="AD4" t="s">
        <v>2476</v>
      </c>
      <c r="AE4" t="s">
        <v>2477</v>
      </c>
      <c r="AF4" t="s">
        <v>2478</v>
      </c>
      <c r="AG4" t="s">
        <v>2479</v>
      </c>
      <c r="AH4" t="s">
        <v>2480</v>
      </c>
      <c r="AI4" t="s">
        <v>2481</v>
      </c>
      <c r="AJ4" t="s">
        <v>2482</v>
      </c>
      <c r="AK4" t="s">
        <v>2483</v>
      </c>
      <c r="AL4" t="s">
        <v>2484</v>
      </c>
      <c r="AM4" t="s">
        <v>2485</v>
      </c>
      <c r="AN4" t="s">
        <v>2486</v>
      </c>
      <c r="AO4" t="s">
        <v>2487</v>
      </c>
      <c r="AP4" t="s">
        <v>2488</v>
      </c>
      <c r="AQ4" t="s">
        <v>2489</v>
      </c>
      <c r="AR4" t="s">
        <v>2490</v>
      </c>
      <c r="AS4" t="s">
        <v>2491</v>
      </c>
      <c r="AT4" t="s">
        <v>2492</v>
      </c>
      <c r="AU4" t="s">
        <v>2493</v>
      </c>
      <c r="AV4" t="s">
        <v>2494</v>
      </c>
      <c r="AW4" t="s">
        <v>2495</v>
      </c>
      <c r="AX4" t="s">
        <v>2496</v>
      </c>
      <c r="AY4" t="s">
        <v>2196</v>
      </c>
      <c r="AZ4" t="s">
        <v>2497</v>
      </c>
      <c r="BA4" t="s">
        <v>2498</v>
      </c>
      <c r="BB4" t="s">
        <v>2499</v>
      </c>
      <c r="BC4" t="s">
        <v>2500</v>
      </c>
      <c r="BD4" t="s">
        <v>2501</v>
      </c>
      <c r="BE4" t="s">
        <v>2502</v>
      </c>
      <c r="BF4" t="s">
        <v>2503</v>
      </c>
      <c r="BG4" t="s">
        <v>2504</v>
      </c>
      <c r="BH4" t="s">
        <v>2505</v>
      </c>
      <c r="BI4" t="s">
        <v>2506</v>
      </c>
      <c r="BJ4" t="s">
        <v>2507</v>
      </c>
      <c r="BK4" t="s">
        <v>2508</v>
      </c>
      <c r="BL4" t="s">
        <v>2509</v>
      </c>
      <c r="BM4" t="s">
        <v>2510</v>
      </c>
      <c r="BN4" t="s">
        <v>2511</v>
      </c>
      <c r="BO4" t="s">
        <v>2512</v>
      </c>
      <c r="BP4" t="s">
        <v>2513</v>
      </c>
      <c r="BQ4" t="s">
        <v>2514</v>
      </c>
      <c r="BR4" t="s">
        <v>2515</v>
      </c>
      <c r="BS4" t="s">
        <v>2516</v>
      </c>
      <c r="BT4" t="s">
        <v>2517</v>
      </c>
      <c r="BU4" t="s">
        <v>2518</v>
      </c>
      <c r="BV4" t="s">
        <v>2519</v>
      </c>
      <c r="BW4" t="s">
        <v>2520</v>
      </c>
      <c r="BX4" t="s">
        <v>2521</v>
      </c>
      <c r="BY4" t="s">
        <v>2522</v>
      </c>
      <c r="BZ4" t="s">
        <v>2523</v>
      </c>
      <c r="CA4" t="s">
        <v>2524</v>
      </c>
      <c r="CB4" t="s">
        <v>2525</v>
      </c>
      <c r="CC4" t="s">
        <v>2526</v>
      </c>
      <c r="CD4" t="s">
        <v>2527</v>
      </c>
      <c r="CE4" t="s">
        <v>2528</v>
      </c>
      <c r="CF4" t="s">
        <v>2529</v>
      </c>
      <c r="CG4" t="s">
        <v>2530</v>
      </c>
      <c r="CH4" t="s">
        <v>2531</v>
      </c>
      <c r="CI4" t="s">
        <v>2532</v>
      </c>
      <c r="CJ4" t="s">
        <v>2533</v>
      </c>
      <c r="CK4" t="s">
        <v>2534</v>
      </c>
      <c r="CL4" t="s">
        <v>2535</v>
      </c>
      <c r="CM4" t="s">
        <v>2536</v>
      </c>
      <c r="CN4" t="s">
        <v>2537</v>
      </c>
      <c r="CO4" t="s">
        <v>2538</v>
      </c>
      <c r="CP4" t="s">
        <v>2539</v>
      </c>
      <c r="CQ4" t="s">
        <v>2540</v>
      </c>
      <c r="CR4" t="s">
        <v>2541</v>
      </c>
      <c r="CS4" t="s">
        <v>2542</v>
      </c>
      <c r="CT4" t="s">
        <v>2543</v>
      </c>
      <c r="CU4" t="s">
        <v>2544</v>
      </c>
      <c r="CV4" t="s">
        <v>2545</v>
      </c>
      <c r="CW4" t="s">
        <v>2546</v>
      </c>
    </row>
    <row r="5" spans="1:101" x14ac:dyDescent="0.3">
      <c r="A5" t="s">
        <v>2547</v>
      </c>
      <c r="B5" t="s">
        <v>2548</v>
      </c>
      <c r="C5" t="s">
        <v>2549</v>
      </c>
      <c r="D5" t="s">
        <v>2550</v>
      </c>
      <c r="E5" t="s">
        <v>2542</v>
      </c>
      <c r="F5" t="s">
        <v>2551</v>
      </c>
      <c r="G5" t="s">
        <v>2540</v>
      </c>
      <c r="H5" t="s">
        <v>2552</v>
      </c>
      <c r="I5" t="s">
        <v>2553</v>
      </c>
      <c r="J5" t="s">
        <v>2554</v>
      </c>
      <c r="K5" t="s">
        <v>2555</v>
      </c>
      <c r="L5" t="s">
        <v>2556</v>
      </c>
      <c r="M5" t="s">
        <v>2557</v>
      </c>
      <c r="N5" t="s">
        <v>2533</v>
      </c>
      <c r="O5" t="s">
        <v>2532</v>
      </c>
      <c r="P5" t="s">
        <v>2558</v>
      </c>
      <c r="Q5" t="s">
        <v>2530</v>
      </c>
      <c r="R5" t="s">
        <v>2559</v>
      </c>
      <c r="S5" t="s">
        <v>2560</v>
      </c>
      <c r="T5" t="s">
        <v>2561</v>
      </c>
      <c r="U5" t="s">
        <v>2562</v>
      </c>
      <c r="V5" t="s">
        <v>2563</v>
      </c>
      <c r="W5" t="s">
        <v>2524</v>
      </c>
      <c r="X5" t="s">
        <v>2564</v>
      </c>
      <c r="Y5" t="s">
        <v>2522</v>
      </c>
      <c r="Z5" t="s">
        <v>2521</v>
      </c>
      <c r="AA5" t="s">
        <v>2565</v>
      </c>
      <c r="AB5" t="s">
        <v>2519</v>
      </c>
      <c r="AC5" t="s">
        <v>2518</v>
      </c>
      <c r="AD5" t="s">
        <v>2517</v>
      </c>
      <c r="AE5" t="s">
        <v>2566</v>
      </c>
      <c r="AF5" t="s">
        <v>2567</v>
      </c>
      <c r="AG5" t="s">
        <v>2514</v>
      </c>
      <c r="AH5" t="s">
        <v>2568</v>
      </c>
      <c r="AI5" t="s">
        <v>2512</v>
      </c>
      <c r="AJ5" t="s">
        <v>2569</v>
      </c>
      <c r="AK5" t="s">
        <v>2570</v>
      </c>
      <c r="AL5" t="s">
        <v>2571</v>
      </c>
      <c r="AM5" t="s">
        <v>2572</v>
      </c>
      <c r="AN5" t="s">
        <v>2573</v>
      </c>
      <c r="AO5" t="s">
        <v>2574</v>
      </c>
      <c r="AP5" t="s">
        <v>2575</v>
      </c>
      <c r="AQ5" t="s">
        <v>2576</v>
      </c>
      <c r="AR5" t="s">
        <v>2577</v>
      </c>
      <c r="AS5" t="s">
        <v>2578</v>
      </c>
      <c r="AT5" t="s">
        <v>2579</v>
      </c>
      <c r="AU5" t="s">
        <v>2500</v>
      </c>
      <c r="AV5" t="s">
        <v>2580</v>
      </c>
      <c r="AW5" t="s">
        <v>2498</v>
      </c>
      <c r="AX5" t="s">
        <v>2497</v>
      </c>
      <c r="AY5" t="s">
        <v>1267</v>
      </c>
      <c r="AZ5" t="s">
        <v>2496</v>
      </c>
      <c r="BA5" t="s">
        <v>2581</v>
      </c>
      <c r="BB5" t="s">
        <v>2582</v>
      </c>
      <c r="BC5" t="s">
        <v>2583</v>
      </c>
      <c r="BD5" t="s">
        <v>2584</v>
      </c>
      <c r="BE5" t="s">
        <v>2491</v>
      </c>
      <c r="BF5" t="s">
        <v>2490</v>
      </c>
      <c r="BG5" t="s">
        <v>2585</v>
      </c>
      <c r="BH5" t="s">
        <v>2586</v>
      </c>
      <c r="BI5" t="s">
        <v>2587</v>
      </c>
      <c r="BJ5" t="s">
        <v>2486</v>
      </c>
      <c r="BK5" t="s">
        <v>2485</v>
      </c>
      <c r="BL5" t="s">
        <v>2484</v>
      </c>
      <c r="BM5" t="s">
        <v>2588</v>
      </c>
      <c r="BN5" t="s">
        <v>2482</v>
      </c>
      <c r="BO5" t="s">
        <v>2481</v>
      </c>
      <c r="BP5" t="s">
        <v>2589</v>
      </c>
      <c r="BQ5" t="s">
        <v>2479</v>
      </c>
      <c r="BR5" t="s">
        <v>2590</v>
      </c>
      <c r="BS5" t="s">
        <v>2591</v>
      </c>
      <c r="BT5" t="s">
        <v>2476</v>
      </c>
      <c r="BU5" t="s">
        <v>2592</v>
      </c>
      <c r="BV5" t="s">
        <v>2474</v>
      </c>
      <c r="BW5" t="s">
        <v>2473</v>
      </c>
      <c r="BX5" t="s">
        <v>2472</v>
      </c>
      <c r="BY5" t="s">
        <v>2471</v>
      </c>
      <c r="BZ5" t="s">
        <v>2593</v>
      </c>
      <c r="CA5" t="s">
        <v>2594</v>
      </c>
      <c r="CB5" t="s">
        <v>2468</v>
      </c>
      <c r="CC5" t="s">
        <v>2467</v>
      </c>
      <c r="CD5" t="s">
        <v>2466</v>
      </c>
      <c r="CE5" t="s">
        <v>2595</v>
      </c>
      <c r="CF5" t="s">
        <v>2464</v>
      </c>
      <c r="CG5" t="s">
        <v>2596</v>
      </c>
      <c r="CH5" t="s">
        <v>2462</v>
      </c>
      <c r="CI5" t="s">
        <v>2597</v>
      </c>
      <c r="CJ5" t="s">
        <v>2598</v>
      </c>
      <c r="CK5" t="s">
        <v>2459</v>
      </c>
      <c r="CL5" t="s">
        <v>2458</v>
      </c>
      <c r="CM5" t="s">
        <v>2599</v>
      </c>
      <c r="CN5" t="s">
        <v>2456</v>
      </c>
      <c r="CO5" t="s">
        <v>2455</v>
      </c>
      <c r="CP5" t="s">
        <v>2600</v>
      </c>
      <c r="CQ5" t="s">
        <v>2453</v>
      </c>
      <c r="CR5" t="s">
        <v>2452</v>
      </c>
      <c r="CS5" t="s">
        <v>2451</v>
      </c>
      <c r="CT5" t="s">
        <v>2450</v>
      </c>
      <c r="CU5" t="s">
        <v>2449</v>
      </c>
      <c r="CV5" t="s">
        <v>2601</v>
      </c>
      <c r="CW5" t="s">
        <v>2602</v>
      </c>
    </row>
    <row r="6" spans="1:101" x14ac:dyDescent="0.3">
      <c r="A6" t="s">
        <v>2603</v>
      </c>
      <c r="B6" t="s">
        <v>2604</v>
      </c>
      <c r="C6" t="s">
        <v>2605</v>
      </c>
      <c r="D6" t="s">
        <v>2443</v>
      </c>
      <c r="E6" t="s">
        <v>2606</v>
      </c>
      <c r="F6" t="s">
        <v>2441</v>
      </c>
      <c r="G6" t="s">
        <v>2440</v>
      </c>
      <c r="H6" t="s">
        <v>2607</v>
      </c>
      <c r="I6" t="s">
        <v>2608</v>
      </c>
      <c r="J6" t="s">
        <v>2609</v>
      </c>
      <c r="K6" t="s">
        <v>2610</v>
      </c>
      <c r="L6" t="s">
        <v>2435</v>
      </c>
      <c r="M6" t="s">
        <v>2611</v>
      </c>
      <c r="N6" t="s">
        <v>2612</v>
      </c>
      <c r="O6" t="s">
        <v>2613</v>
      </c>
      <c r="P6" t="s">
        <v>2614</v>
      </c>
      <c r="Q6" t="s">
        <v>2615</v>
      </c>
      <c r="R6" t="s">
        <v>2616</v>
      </c>
      <c r="S6" t="s">
        <v>2617</v>
      </c>
      <c r="T6" t="s">
        <v>2618</v>
      </c>
      <c r="U6" t="s">
        <v>2619</v>
      </c>
      <c r="V6" t="s">
        <v>2620</v>
      </c>
      <c r="W6" t="s">
        <v>2621</v>
      </c>
      <c r="X6" t="s">
        <v>2622</v>
      </c>
      <c r="Y6" t="s">
        <v>2422</v>
      </c>
      <c r="Z6" t="s">
        <v>2623</v>
      </c>
      <c r="AA6" t="s">
        <v>2624</v>
      </c>
      <c r="AB6" t="s">
        <v>2419</v>
      </c>
      <c r="AC6" t="s">
        <v>2418</v>
      </c>
      <c r="AD6" t="s">
        <v>2625</v>
      </c>
      <c r="AE6" t="s">
        <v>2416</v>
      </c>
      <c r="AF6" t="s">
        <v>2626</v>
      </c>
      <c r="AG6" t="s">
        <v>2414</v>
      </c>
      <c r="AH6" t="s">
        <v>2627</v>
      </c>
      <c r="AI6" t="s">
        <v>2412</v>
      </c>
      <c r="AJ6" t="s">
        <v>2628</v>
      </c>
      <c r="AK6" t="s">
        <v>2629</v>
      </c>
      <c r="AL6" t="s">
        <v>2409</v>
      </c>
      <c r="AM6" t="s">
        <v>2408</v>
      </c>
      <c r="AN6" t="s">
        <v>2630</v>
      </c>
      <c r="AO6" t="s">
        <v>2406</v>
      </c>
      <c r="AP6" t="s">
        <v>2631</v>
      </c>
      <c r="AQ6" t="s">
        <v>2632</v>
      </c>
      <c r="AR6" t="s">
        <v>2403</v>
      </c>
      <c r="AS6" t="s">
        <v>2402</v>
      </c>
      <c r="AT6" t="s">
        <v>2401</v>
      </c>
      <c r="AU6" t="s">
        <v>2400</v>
      </c>
      <c r="AV6" t="s">
        <v>2633</v>
      </c>
      <c r="AW6" t="s">
        <v>2634</v>
      </c>
      <c r="AX6" t="s">
        <v>2635</v>
      </c>
      <c r="AY6" t="s">
        <v>1171</v>
      </c>
      <c r="AZ6" t="s">
        <v>2395</v>
      </c>
      <c r="BA6" t="s">
        <v>2636</v>
      </c>
      <c r="BB6" t="s">
        <v>2393</v>
      </c>
      <c r="BC6" t="s">
        <v>2637</v>
      </c>
      <c r="BD6" t="s">
        <v>2391</v>
      </c>
      <c r="BE6" t="s">
        <v>2638</v>
      </c>
      <c r="BF6" t="s">
        <v>2389</v>
      </c>
      <c r="BG6" t="s">
        <v>2639</v>
      </c>
      <c r="BH6" t="s">
        <v>2640</v>
      </c>
      <c r="BI6" t="s">
        <v>2641</v>
      </c>
      <c r="BJ6" t="s">
        <v>2642</v>
      </c>
      <c r="BK6" t="s">
        <v>2643</v>
      </c>
      <c r="BL6" t="s">
        <v>2383</v>
      </c>
      <c r="BM6" t="s">
        <v>2644</v>
      </c>
      <c r="BN6" t="s">
        <v>2645</v>
      </c>
      <c r="BO6" t="s">
        <v>2646</v>
      </c>
      <c r="BP6" t="s">
        <v>2647</v>
      </c>
      <c r="BQ6" t="s">
        <v>2378</v>
      </c>
      <c r="BR6" t="s">
        <v>2377</v>
      </c>
      <c r="BS6" t="s">
        <v>2376</v>
      </c>
      <c r="BT6" t="s">
        <v>2648</v>
      </c>
      <c r="BU6" t="s">
        <v>2374</v>
      </c>
      <c r="BV6" t="s">
        <v>2649</v>
      </c>
      <c r="BW6" t="s">
        <v>2372</v>
      </c>
      <c r="BX6" t="s">
        <v>2371</v>
      </c>
      <c r="BY6" t="s">
        <v>2370</v>
      </c>
      <c r="BZ6" t="s">
        <v>2369</v>
      </c>
      <c r="CA6" t="s">
        <v>2368</v>
      </c>
      <c r="CB6" t="s">
        <v>2650</v>
      </c>
      <c r="CC6" t="s">
        <v>2651</v>
      </c>
      <c r="CD6" t="s">
        <v>2365</v>
      </c>
      <c r="CE6" t="s">
        <v>2364</v>
      </c>
      <c r="CF6" t="s">
        <v>2363</v>
      </c>
      <c r="CG6" t="s">
        <v>2652</v>
      </c>
      <c r="CH6" t="s">
        <v>2653</v>
      </c>
      <c r="CI6" t="s">
        <v>2654</v>
      </c>
      <c r="CJ6" t="s">
        <v>2359</v>
      </c>
      <c r="CK6" t="s">
        <v>2358</v>
      </c>
      <c r="CL6" t="s">
        <v>2655</v>
      </c>
      <c r="CM6" t="s">
        <v>2656</v>
      </c>
      <c r="CN6" t="s">
        <v>2355</v>
      </c>
      <c r="CO6" t="s">
        <v>2354</v>
      </c>
      <c r="CP6" t="s">
        <v>2353</v>
      </c>
      <c r="CQ6" t="s">
        <v>2352</v>
      </c>
      <c r="CR6" t="s">
        <v>2351</v>
      </c>
      <c r="CS6" t="s">
        <v>2350</v>
      </c>
      <c r="CT6" t="s">
        <v>2349</v>
      </c>
      <c r="CU6" t="s">
        <v>2657</v>
      </c>
      <c r="CV6" t="s">
        <v>2658</v>
      </c>
      <c r="CW6" t="s">
        <v>2346</v>
      </c>
    </row>
    <row r="7" spans="1:101" x14ac:dyDescent="0.3">
      <c r="A7" t="s">
        <v>2659</v>
      </c>
      <c r="B7" t="s">
        <v>2660</v>
      </c>
      <c r="C7" t="s">
        <v>2661</v>
      </c>
      <c r="D7" t="s">
        <v>2662</v>
      </c>
      <c r="E7" t="s">
        <v>2663</v>
      </c>
      <c r="F7" t="s">
        <v>2664</v>
      </c>
      <c r="G7" t="s">
        <v>2665</v>
      </c>
      <c r="H7" t="s">
        <v>2666</v>
      </c>
      <c r="I7" t="s">
        <v>2667</v>
      </c>
      <c r="J7" t="s">
        <v>2668</v>
      </c>
      <c r="K7" t="s">
        <v>2669</v>
      </c>
      <c r="L7" t="s">
        <v>2670</v>
      </c>
      <c r="M7" t="s">
        <v>2671</v>
      </c>
      <c r="N7" t="s">
        <v>2672</v>
      </c>
      <c r="O7" t="s">
        <v>2673</v>
      </c>
      <c r="P7" t="s">
        <v>2674</v>
      </c>
      <c r="Q7" t="s">
        <v>2675</v>
      </c>
      <c r="R7" t="s">
        <v>2676</v>
      </c>
      <c r="S7" t="s">
        <v>2677</v>
      </c>
      <c r="T7" t="s">
        <v>2678</v>
      </c>
      <c r="U7" t="s">
        <v>2679</v>
      </c>
      <c r="V7" t="s">
        <v>2680</v>
      </c>
      <c r="W7" t="s">
        <v>2681</v>
      </c>
      <c r="X7" t="s">
        <v>2682</v>
      </c>
      <c r="Y7" t="s">
        <v>2683</v>
      </c>
      <c r="Z7" t="s">
        <v>2684</v>
      </c>
      <c r="AA7" t="s">
        <v>2685</v>
      </c>
      <c r="AB7" t="s">
        <v>2686</v>
      </c>
      <c r="AC7" t="s">
        <v>2687</v>
      </c>
      <c r="AD7" t="s">
        <v>2688</v>
      </c>
      <c r="AE7" t="s">
        <v>2689</v>
      </c>
      <c r="AF7" t="s">
        <v>2690</v>
      </c>
      <c r="AG7" t="s">
        <v>2691</v>
      </c>
      <c r="AH7" t="s">
        <v>2692</v>
      </c>
      <c r="AI7" t="s">
        <v>2693</v>
      </c>
      <c r="AJ7" t="s">
        <v>2694</v>
      </c>
      <c r="AK7" t="s">
        <v>2695</v>
      </c>
      <c r="AL7" t="s">
        <v>2696</v>
      </c>
      <c r="AM7" t="s">
        <v>2697</v>
      </c>
      <c r="AN7" t="s">
        <v>2698</v>
      </c>
      <c r="AO7" t="s">
        <v>2699</v>
      </c>
      <c r="AP7" t="s">
        <v>2700</v>
      </c>
      <c r="AQ7" t="s">
        <v>2701</v>
      </c>
      <c r="AR7" t="s">
        <v>2702</v>
      </c>
      <c r="AS7" t="s">
        <v>2703</v>
      </c>
      <c r="AT7" t="s">
        <v>2704</v>
      </c>
      <c r="AU7" t="s">
        <v>2705</v>
      </c>
      <c r="AV7" t="s">
        <v>2706</v>
      </c>
      <c r="AW7" t="s">
        <v>2707</v>
      </c>
      <c r="AX7" t="s">
        <v>2708</v>
      </c>
      <c r="AY7" t="s">
        <v>2709</v>
      </c>
      <c r="AZ7" t="s">
        <v>2710</v>
      </c>
      <c r="BA7" t="s">
        <v>2711</v>
      </c>
      <c r="BB7" t="s">
        <v>2712</v>
      </c>
      <c r="BC7" t="s">
        <v>2713</v>
      </c>
      <c r="BD7" t="s">
        <v>2714</v>
      </c>
      <c r="BE7" t="s">
        <v>2715</v>
      </c>
      <c r="BF7" t="s">
        <v>2716</v>
      </c>
      <c r="BG7" t="s">
        <v>2717</v>
      </c>
      <c r="BH7" t="s">
        <v>2718</v>
      </c>
      <c r="BI7" t="s">
        <v>2719</v>
      </c>
      <c r="BJ7" t="s">
        <v>2720</v>
      </c>
      <c r="BK7" t="s">
        <v>2721</v>
      </c>
      <c r="BL7" t="s">
        <v>2722</v>
      </c>
      <c r="BM7" t="s">
        <v>2723</v>
      </c>
      <c r="BN7" t="s">
        <v>2724</v>
      </c>
      <c r="BO7" t="s">
        <v>2725</v>
      </c>
      <c r="BP7" t="s">
        <v>2726</v>
      </c>
      <c r="BQ7" t="s">
        <v>2727</v>
      </c>
      <c r="BR7" t="s">
        <v>2728</v>
      </c>
      <c r="BS7" t="s">
        <v>2729</v>
      </c>
      <c r="BT7" t="s">
        <v>2730</v>
      </c>
      <c r="BU7" t="s">
        <v>2731</v>
      </c>
      <c r="BV7" t="s">
        <v>2732</v>
      </c>
      <c r="BW7" t="s">
        <v>2733</v>
      </c>
      <c r="BX7" t="s">
        <v>2734</v>
      </c>
      <c r="BY7" t="s">
        <v>2735</v>
      </c>
      <c r="BZ7" t="s">
        <v>2736</v>
      </c>
      <c r="CA7" t="s">
        <v>2737</v>
      </c>
      <c r="CB7" t="s">
        <v>2738</v>
      </c>
      <c r="CC7" t="s">
        <v>2739</v>
      </c>
      <c r="CD7" t="s">
        <v>2740</v>
      </c>
      <c r="CE7" t="s">
        <v>2741</v>
      </c>
      <c r="CF7" t="s">
        <v>2742</v>
      </c>
      <c r="CG7" t="s">
        <v>2743</v>
      </c>
      <c r="CH7" t="s">
        <v>2744</v>
      </c>
      <c r="CI7" t="s">
        <v>2745</v>
      </c>
      <c r="CJ7" t="s">
        <v>2746</v>
      </c>
      <c r="CK7" t="s">
        <v>2747</v>
      </c>
      <c r="CL7" t="s">
        <v>2748</v>
      </c>
      <c r="CM7" t="s">
        <v>2749</v>
      </c>
      <c r="CN7" t="s">
        <v>2750</v>
      </c>
      <c r="CO7" t="s">
        <v>2751</v>
      </c>
      <c r="CP7" t="s">
        <v>2752</v>
      </c>
      <c r="CQ7" t="s">
        <v>2753</v>
      </c>
      <c r="CR7" t="s">
        <v>2754</v>
      </c>
      <c r="CS7" t="s">
        <v>2755</v>
      </c>
      <c r="CT7" t="s">
        <v>2756</v>
      </c>
      <c r="CU7" t="s">
        <v>2757</v>
      </c>
      <c r="CV7" t="s">
        <v>2758</v>
      </c>
      <c r="CW7" t="s">
        <v>2759</v>
      </c>
    </row>
    <row r="8" spans="1:101" x14ac:dyDescent="0.3">
      <c r="A8">
        <f>-A7*10/10</f>
        <v>-46.567439999999998</v>
      </c>
      <c r="B8">
        <f t="shared" ref="B8:AX8" si="0">-B7*10/10</f>
        <v>-45.816079999999999</v>
      </c>
      <c r="C8">
        <f t="shared" si="0"/>
        <v>-47.303649999999998</v>
      </c>
      <c r="D8">
        <f t="shared" si="0"/>
        <v>-49.905410000000003</v>
      </c>
      <c r="E8">
        <f t="shared" si="0"/>
        <v>-52.127980000000001</v>
      </c>
      <c r="F8">
        <f t="shared" si="0"/>
        <v>-51.000320000000002</v>
      </c>
      <c r="G8">
        <f t="shared" si="0"/>
        <v>-46.392159999999997</v>
      </c>
      <c r="H8">
        <f t="shared" si="0"/>
        <v>-42.156170000000003</v>
      </c>
      <c r="I8">
        <f t="shared" si="0"/>
        <v>-40.511629999999997</v>
      </c>
      <c r="J8">
        <f t="shared" si="0"/>
        <v>-41.085000000000001</v>
      </c>
      <c r="K8">
        <f t="shared" si="0"/>
        <v>-42.221760000000003</v>
      </c>
      <c r="L8">
        <f t="shared" si="0"/>
        <v>-42.675330000000002</v>
      </c>
      <c r="M8">
        <f t="shared" si="0"/>
        <v>-42.270760000000003</v>
      </c>
      <c r="N8">
        <f t="shared" si="0"/>
        <v>-40.780790000000003</v>
      </c>
      <c r="O8">
        <f t="shared" si="0"/>
        <v>-38.119079999999997</v>
      </c>
      <c r="P8">
        <f t="shared" si="0"/>
        <v>-35.425170000000001</v>
      </c>
      <c r="Q8">
        <f t="shared" si="0"/>
        <v>-34.029850000000003</v>
      </c>
      <c r="R8">
        <f t="shared" si="0"/>
        <v>-34.055999999999997</v>
      </c>
      <c r="S8">
        <f t="shared" si="0"/>
        <v>-34.422170000000001</v>
      </c>
      <c r="T8">
        <f t="shared" si="0"/>
        <v>-34.039340000000003</v>
      </c>
      <c r="U8">
        <f t="shared" si="0"/>
        <v>-32.931249999999999</v>
      </c>
      <c r="V8">
        <f t="shared" si="0"/>
        <v>-31.582839999999997</v>
      </c>
      <c r="W8">
        <f t="shared" si="0"/>
        <v>-30.021280000000001</v>
      </c>
      <c r="X8">
        <f t="shared" si="0"/>
        <v>-28.21922</v>
      </c>
      <c r="Y8">
        <f t="shared" si="0"/>
        <v>-26.661629999999995</v>
      </c>
      <c r="Z8">
        <f t="shared" si="0"/>
        <v>-25.866910000000001</v>
      </c>
      <c r="AA8">
        <f t="shared" si="0"/>
        <v>-25.682589999999998</v>
      </c>
      <c r="AB8">
        <f t="shared" si="0"/>
        <v>-25.359210000000001</v>
      </c>
      <c r="AC8">
        <f t="shared" si="0"/>
        <v>-24.36561</v>
      </c>
      <c r="AD8">
        <f t="shared" si="0"/>
        <v>-22.917480000000001</v>
      </c>
      <c r="AE8">
        <f t="shared" si="0"/>
        <v>-21.457940000000001</v>
      </c>
      <c r="AF8">
        <f t="shared" si="0"/>
        <v>-20.100149999999999</v>
      </c>
      <c r="AG8">
        <f t="shared" si="0"/>
        <v>-18.782489999999999</v>
      </c>
      <c r="AH8">
        <f t="shared" si="0"/>
        <v>-17.62764</v>
      </c>
      <c r="AI8">
        <f t="shared" si="0"/>
        <v>-16.842919999999999</v>
      </c>
      <c r="AJ8">
        <f t="shared" si="0"/>
        <v>-16.350650000000002</v>
      </c>
      <c r="AK8">
        <f t="shared" si="0"/>
        <v>-15.740959999999998</v>
      </c>
      <c r="AL8">
        <f t="shared" si="0"/>
        <v>-14.665850000000001</v>
      </c>
      <c r="AM8">
        <f t="shared" si="0"/>
        <v>-13.20645</v>
      </c>
      <c r="AN8">
        <f t="shared" si="0"/>
        <v>-11.69928</v>
      </c>
      <c r="AO8">
        <f t="shared" si="0"/>
        <v>-10.36037</v>
      </c>
      <c r="AP8">
        <f t="shared" si="0"/>
        <v>-9.221482</v>
      </c>
      <c r="AQ8">
        <f t="shared" si="0"/>
        <v>-8.2772369999999995</v>
      </c>
      <c r="AR8">
        <f t="shared" si="0"/>
        <v>-7.5296950000000011</v>
      </c>
      <c r="AS8">
        <f t="shared" si="0"/>
        <v>-6.8836770000000005</v>
      </c>
      <c r="AT8">
        <f t="shared" si="0"/>
        <v>-6.1129800000000003</v>
      </c>
      <c r="AU8">
        <f t="shared" si="0"/>
        <v>-5.0132779999999997</v>
      </c>
      <c r="AV8">
        <f t="shared" si="0"/>
        <v>-3.5984769999999999</v>
      </c>
      <c r="AW8">
        <f t="shared" si="0"/>
        <v>-2.083135</v>
      </c>
      <c r="AX8">
        <f t="shared" si="0"/>
        <v>-0.69352080000000005</v>
      </c>
      <c r="AY8">
        <f>-AY7+360</f>
        <v>0.42669999999998254</v>
      </c>
      <c r="AZ8">
        <f t="shared" ref="AZ8:CW8" si="1">-AZ7+360</f>
        <v>1.2257000000000176</v>
      </c>
      <c r="BA8">
        <f t="shared" si="1"/>
        <v>1.7946000000000026</v>
      </c>
      <c r="BB8">
        <f t="shared" si="1"/>
        <v>2.3783999999999992</v>
      </c>
      <c r="BC8">
        <f t="shared" si="1"/>
        <v>3.2456999999999994</v>
      </c>
      <c r="BD8">
        <f t="shared" si="1"/>
        <v>4.5140999999999849</v>
      </c>
      <c r="BE8">
        <f t="shared" si="1"/>
        <v>6.0684999999999718</v>
      </c>
      <c r="BF8">
        <f t="shared" si="1"/>
        <v>7.6600999999999999</v>
      </c>
      <c r="BG8">
        <f t="shared" si="1"/>
        <v>9.073599999999999</v>
      </c>
      <c r="BH8">
        <f t="shared" si="1"/>
        <v>10.147400000000005</v>
      </c>
      <c r="BI8">
        <f t="shared" si="1"/>
        <v>10.75709999999998</v>
      </c>
      <c r="BJ8">
        <f t="shared" si="1"/>
        <v>10.986100000000022</v>
      </c>
      <c r="BK8">
        <f t="shared" si="1"/>
        <v>11.260199999999998</v>
      </c>
      <c r="BL8">
        <f t="shared" si="1"/>
        <v>12.092699999999979</v>
      </c>
      <c r="BM8">
        <f t="shared" si="1"/>
        <v>13.684199999999976</v>
      </c>
      <c r="BN8">
        <f t="shared" si="1"/>
        <v>15.761000000000024</v>
      </c>
      <c r="BO8">
        <f t="shared" si="1"/>
        <v>17.771000000000015</v>
      </c>
      <c r="BP8">
        <f t="shared" si="1"/>
        <v>19.274400000000014</v>
      </c>
      <c r="BQ8">
        <f t="shared" si="1"/>
        <v>20.080899999999986</v>
      </c>
      <c r="BR8">
        <f t="shared" si="1"/>
        <v>20.146500000000003</v>
      </c>
      <c r="BS8">
        <f t="shared" si="1"/>
        <v>19.707299999999975</v>
      </c>
      <c r="BT8">
        <f t="shared" si="1"/>
        <v>19.471400000000017</v>
      </c>
      <c r="BU8">
        <f t="shared" si="1"/>
        <v>20.275899999999979</v>
      </c>
      <c r="BV8">
        <f t="shared" si="1"/>
        <v>22.473599999999976</v>
      </c>
      <c r="BW8">
        <f t="shared" si="1"/>
        <v>25.608900000000006</v>
      </c>
      <c r="BX8">
        <f t="shared" si="1"/>
        <v>28.544300000000021</v>
      </c>
      <c r="BY8">
        <f t="shared" si="1"/>
        <v>30.124599999999987</v>
      </c>
      <c r="BZ8">
        <f t="shared" si="1"/>
        <v>29.973599999999976</v>
      </c>
      <c r="CA8">
        <f t="shared" si="1"/>
        <v>28.627299999999991</v>
      </c>
      <c r="CB8">
        <f t="shared" si="1"/>
        <v>27.141999999999996</v>
      </c>
      <c r="CC8">
        <f t="shared" si="1"/>
        <v>26.701399999999978</v>
      </c>
      <c r="CD8">
        <f t="shared" si="1"/>
        <v>28.210500000000025</v>
      </c>
      <c r="CE8">
        <f t="shared" si="1"/>
        <v>31.866800000000012</v>
      </c>
      <c r="CF8">
        <f t="shared" si="1"/>
        <v>36.720399999999984</v>
      </c>
      <c r="CG8">
        <f t="shared" si="1"/>
        <v>40.327499999999986</v>
      </c>
      <c r="CH8">
        <f t="shared" si="1"/>
        <v>40.253399999999999</v>
      </c>
      <c r="CI8">
        <f t="shared" si="1"/>
        <v>37.368600000000015</v>
      </c>
      <c r="CJ8">
        <f t="shared" si="1"/>
        <v>34.464200000000005</v>
      </c>
      <c r="CK8">
        <f t="shared" si="1"/>
        <v>33.310400000000016</v>
      </c>
      <c r="CL8">
        <f t="shared" si="1"/>
        <v>34.625099999999975</v>
      </c>
      <c r="CM8">
        <f t="shared" si="1"/>
        <v>38.57080000000002</v>
      </c>
      <c r="CN8">
        <f t="shared" si="1"/>
        <v>44.404800000000023</v>
      </c>
      <c r="CO8">
        <f t="shared" si="1"/>
        <v>49.035500000000013</v>
      </c>
      <c r="CP8">
        <f t="shared" si="1"/>
        <v>48.357599999999991</v>
      </c>
      <c r="CQ8">
        <f t="shared" si="1"/>
        <v>44.289199999999994</v>
      </c>
      <c r="CR8">
        <f t="shared" si="1"/>
        <v>41.285599999999988</v>
      </c>
      <c r="CS8">
        <f t="shared" si="1"/>
        <v>41.086599999999976</v>
      </c>
      <c r="CT8">
        <f t="shared" si="1"/>
        <v>43.540700000000015</v>
      </c>
      <c r="CU8">
        <f t="shared" si="1"/>
        <v>47.594100000000026</v>
      </c>
      <c r="CV8">
        <f t="shared" si="1"/>
        <v>51.617599999999982</v>
      </c>
      <c r="CW8">
        <f t="shared" si="1"/>
        <v>53.596000000000004</v>
      </c>
    </row>
    <row r="9" spans="1:101" x14ac:dyDescent="0.3">
      <c r="A9">
        <f>A2*10/10</f>
        <v>-39.200000000000003</v>
      </c>
      <c r="B9">
        <f t="shared" ref="B9:BM9" si="2">B2*10/10</f>
        <v>-38.4</v>
      </c>
      <c r="C9">
        <f t="shared" si="2"/>
        <v>-37.6</v>
      </c>
      <c r="D9">
        <f t="shared" si="2"/>
        <v>-36.799999999999997</v>
      </c>
      <c r="E9">
        <f t="shared" si="2"/>
        <v>-36</v>
      </c>
      <c r="F9">
        <f t="shared" si="2"/>
        <v>-35.200000000000003</v>
      </c>
      <c r="G9">
        <f t="shared" si="2"/>
        <v>-34.400010000000002</v>
      </c>
      <c r="H9">
        <f t="shared" si="2"/>
        <v>-33.600009999999997</v>
      </c>
      <c r="I9">
        <f t="shared" si="2"/>
        <v>-32.80001</v>
      </c>
      <c r="J9">
        <f t="shared" si="2"/>
        <v>-32.000010000000003</v>
      </c>
      <c r="K9">
        <f t="shared" si="2"/>
        <v>-31.200009999999999</v>
      </c>
      <c r="L9">
        <f t="shared" si="2"/>
        <v>-30.400010000000002</v>
      </c>
      <c r="M9">
        <f t="shared" si="2"/>
        <v>-29.600010000000005</v>
      </c>
      <c r="N9">
        <f t="shared" si="2"/>
        <v>-28.800009999999997</v>
      </c>
      <c r="O9">
        <f t="shared" si="2"/>
        <v>-28.000009999999996</v>
      </c>
      <c r="P9">
        <f t="shared" si="2"/>
        <v>-27.200009999999999</v>
      </c>
      <c r="Q9">
        <f t="shared" si="2"/>
        <v>-26.400010000000002</v>
      </c>
      <c r="R9">
        <f t="shared" si="2"/>
        <v>-25.600010000000005</v>
      </c>
      <c r="S9">
        <f t="shared" si="2"/>
        <v>-24.80001</v>
      </c>
      <c r="T9">
        <f t="shared" si="2"/>
        <v>-24.000019999999999</v>
      </c>
      <c r="U9">
        <f t="shared" si="2"/>
        <v>-23.200019999999999</v>
      </c>
      <c r="V9">
        <f t="shared" si="2"/>
        <v>-22.400020000000001</v>
      </c>
      <c r="W9">
        <f t="shared" si="2"/>
        <v>-21.600020000000001</v>
      </c>
      <c r="X9">
        <f t="shared" si="2"/>
        <v>-20.80002</v>
      </c>
      <c r="Y9">
        <f t="shared" si="2"/>
        <v>-20.000019999999999</v>
      </c>
      <c r="Z9">
        <f t="shared" si="2"/>
        <v>-19.200019999999999</v>
      </c>
      <c r="AA9">
        <f t="shared" si="2"/>
        <v>-18.400020000000001</v>
      </c>
      <c r="AB9">
        <f t="shared" si="2"/>
        <v>-17.600020000000001</v>
      </c>
      <c r="AC9">
        <f t="shared" si="2"/>
        <v>-16.80002</v>
      </c>
      <c r="AD9">
        <f t="shared" si="2"/>
        <v>-16.000019999999999</v>
      </c>
      <c r="AE9">
        <f t="shared" si="2"/>
        <v>-15.20002</v>
      </c>
      <c r="AF9">
        <f t="shared" si="2"/>
        <v>-14.400020000000001</v>
      </c>
      <c r="AG9">
        <f t="shared" si="2"/>
        <v>-13.600020000000001</v>
      </c>
      <c r="AH9">
        <f t="shared" si="2"/>
        <v>-12.80002</v>
      </c>
      <c r="AI9">
        <f t="shared" si="2"/>
        <v>-12.000019999999999</v>
      </c>
      <c r="AJ9">
        <f t="shared" si="2"/>
        <v>-11.20002</v>
      </c>
      <c r="AK9">
        <f t="shared" si="2"/>
        <v>-10.40002</v>
      </c>
      <c r="AL9">
        <f t="shared" si="2"/>
        <v>-9.6000209999999999</v>
      </c>
      <c r="AM9">
        <f t="shared" si="2"/>
        <v>-8.8000209999999992</v>
      </c>
      <c r="AN9">
        <f t="shared" si="2"/>
        <v>-8.0000210000000003</v>
      </c>
      <c r="AO9">
        <f t="shared" si="2"/>
        <v>-7.2000209999999996</v>
      </c>
      <c r="AP9">
        <f t="shared" si="2"/>
        <v>-6.4000209999999997</v>
      </c>
      <c r="AQ9">
        <f t="shared" si="2"/>
        <v>-5.6000199999999998</v>
      </c>
      <c r="AR9">
        <f t="shared" si="2"/>
        <v>-4.80002</v>
      </c>
      <c r="AS9">
        <f t="shared" si="2"/>
        <v>-4.0000200000000001</v>
      </c>
      <c r="AT9">
        <f t="shared" si="2"/>
        <v>-3.2000199999999999</v>
      </c>
      <c r="AU9">
        <f t="shared" si="2"/>
        <v>-2.40002</v>
      </c>
      <c r="AV9">
        <f t="shared" si="2"/>
        <v>-1.60002</v>
      </c>
      <c r="AW9">
        <f t="shared" si="2"/>
        <v>-0.80002019999999996</v>
      </c>
      <c r="AX9">
        <f t="shared" si="2"/>
        <v>-2.0146369999999999E-5</v>
      </c>
      <c r="AY9">
        <f t="shared" si="2"/>
        <v>0.79997989999999997</v>
      </c>
      <c r="AZ9">
        <f t="shared" si="2"/>
        <v>1.59998</v>
      </c>
      <c r="BA9">
        <f t="shared" si="2"/>
        <v>2.3999799999999998</v>
      </c>
      <c r="BB9">
        <f t="shared" si="2"/>
        <v>3.19998</v>
      </c>
      <c r="BC9">
        <f t="shared" si="2"/>
        <v>3.9999799999999999</v>
      </c>
      <c r="BD9">
        <f t="shared" si="2"/>
        <v>4.7999799999999997</v>
      </c>
      <c r="BE9">
        <f t="shared" si="2"/>
        <v>5.5999800000000004</v>
      </c>
      <c r="BF9">
        <f t="shared" si="2"/>
        <v>6.3999800000000002</v>
      </c>
      <c r="BG9">
        <f t="shared" si="2"/>
        <v>7.1999799999999992</v>
      </c>
      <c r="BH9">
        <f t="shared" si="2"/>
        <v>7.999979999999999</v>
      </c>
      <c r="BI9">
        <f t="shared" si="2"/>
        <v>8.7999799999999997</v>
      </c>
      <c r="BJ9">
        <f t="shared" si="2"/>
        <v>9.5999800000000004</v>
      </c>
      <c r="BK9">
        <f t="shared" si="2"/>
        <v>10.399979999999999</v>
      </c>
      <c r="BL9">
        <f t="shared" si="2"/>
        <v>11.19998</v>
      </c>
      <c r="BM9">
        <f t="shared" si="2"/>
        <v>11.999980000000001</v>
      </c>
      <c r="BN9">
        <f t="shared" ref="BN9:CW9" si="3">BN2*10/10</f>
        <v>12.79998</v>
      </c>
      <c r="BO9">
        <f t="shared" si="3"/>
        <v>13.599979999999999</v>
      </c>
      <c r="BP9">
        <f t="shared" si="3"/>
        <v>14.399979999999999</v>
      </c>
      <c r="BQ9">
        <f t="shared" si="3"/>
        <v>15.19998</v>
      </c>
      <c r="BR9">
        <f t="shared" si="3"/>
        <v>15.999979999999999</v>
      </c>
      <c r="BS9">
        <f t="shared" si="3"/>
        <v>16.799980000000001</v>
      </c>
      <c r="BT9">
        <f t="shared" si="3"/>
        <v>17.599979999999999</v>
      </c>
      <c r="BU9">
        <f t="shared" si="3"/>
        <v>18.399979999999999</v>
      </c>
      <c r="BV9">
        <f t="shared" si="3"/>
        <v>19.19998</v>
      </c>
      <c r="BW9">
        <f t="shared" si="3"/>
        <v>19.999980000000001</v>
      </c>
      <c r="BX9">
        <f t="shared" si="3"/>
        <v>20.799980000000001</v>
      </c>
      <c r="BY9">
        <f t="shared" si="3"/>
        <v>21.599979999999999</v>
      </c>
      <c r="BZ9">
        <f t="shared" si="3"/>
        <v>22.399979999999999</v>
      </c>
      <c r="CA9">
        <f t="shared" si="3"/>
        <v>23.19998</v>
      </c>
      <c r="CB9">
        <f t="shared" si="3"/>
        <v>23.999980000000001</v>
      </c>
      <c r="CC9">
        <f t="shared" si="3"/>
        <v>24.799969999999998</v>
      </c>
      <c r="CD9">
        <f t="shared" si="3"/>
        <v>25.599969999999999</v>
      </c>
      <c r="CE9">
        <f t="shared" si="3"/>
        <v>26.399970000000003</v>
      </c>
      <c r="CF9">
        <f t="shared" si="3"/>
        <v>27.19997</v>
      </c>
      <c r="CG9">
        <f t="shared" si="3"/>
        <v>27.999970000000001</v>
      </c>
      <c r="CH9">
        <f t="shared" si="3"/>
        <v>28.799969999999995</v>
      </c>
      <c r="CI9">
        <f t="shared" si="3"/>
        <v>29.599969999999995</v>
      </c>
      <c r="CJ9">
        <f t="shared" si="3"/>
        <v>30.399970000000003</v>
      </c>
      <c r="CK9">
        <f t="shared" si="3"/>
        <v>31.19997</v>
      </c>
      <c r="CL9">
        <f t="shared" si="3"/>
        <v>31.999970000000001</v>
      </c>
      <c r="CM9">
        <f t="shared" si="3"/>
        <v>32.799970000000002</v>
      </c>
      <c r="CN9">
        <f t="shared" si="3"/>
        <v>33.599969999999999</v>
      </c>
      <c r="CO9">
        <f t="shared" si="3"/>
        <v>34.399970000000003</v>
      </c>
      <c r="CP9">
        <f t="shared" si="3"/>
        <v>35.19997</v>
      </c>
      <c r="CQ9">
        <f t="shared" si="3"/>
        <v>35.999969999999998</v>
      </c>
      <c r="CR9">
        <f t="shared" si="3"/>
        <v>36.799959999999999</v>
      </c>
      <c r="CS9">
        <f t="shared" si="3"/>
        <v>37.599960000000003</v>
      </c>
      <c r="CT9">
        <f t="shared" si="3"/>
        <v>38.39996</v>
      </c>
      <c r="CU9">
        <f t="shared" si="3"/>
        <v>39.199959999999997</v>
      </c>
      <c r="CV9">
        <f t="shared" si="3"/>
        <v>39.999960000000002</v>
      </c>
      <c r="CW9">
        <f t="shared" si="3"/>
        <v>40.799959999999999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9350-CCEA-4BDB-9FC4-22D49C96C338}">
  <dimension ref="A1:CV16"/>
  <sheetViews>
    <sheetView topLeftCell="A8" workbookViewId="0">
      <selection activeCell="K17" sqref="K17"/>
    </sheetView>
  </sheetViews>
  <sheetFormatPr defaultRowHeight="14.4" x14ac:dyDescent="0.3"/>
  <cols>
    <col min="1" max="9" width="10.77734375" bestFit="1" customWidth="1"/>
    <col min="10" max="54" width="11.77734375" bestFit="1" customWidth="1"/>
    <col min="55" max="55" width="12.88671875" bestFit="1" customWidth="1"/>
    <col min="56" max="99" width="11.77734375" bestFit="1" customWidth="1"/>
    <col min="100" max="100" width="12.77734375" bestFit="1" customWidth="1"/>
  </cols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3">
      <c r="A2" t="s">
        <v>1956</v>
      </c>
      <c r="B2" t="s">
        <v>1956</v>
      </c>
      <c r="C2" t="s">
        <v>1956</v>
      </c>
      <c r="D2" t="s">
        <v>1956</v>
      </c>
      <c r="E2" t="s">
        <v>1956</v>
      </c>
      <c r="F2" t="s">
        <v>1957</v>
      </c>
      <c r="G2" t="s">
        <v>1958</v>
      </c>
      <c r="H2" t="s">
        <v>1959</v>
      </c>
      <c r="I2" t="s">
        <v>1960</v>
      </c>
      <c r="J2" t="s">
        <v>1961</v>
      </c>
      <c r="K2" t="s">
        <v>1962</v>
      </c>
      <c r="L2" t="s">
        <v>1963</v>
      </c>
      <c r="M2" t="s">
        <v>1964</v>
      </c>
      <c r="N2" t="s">
        <v>1965</v>
      </c>
      <c r="O2" t="s">
        <v>1966</v>
      </c>
      <c r="P2" t="s">
        <v>1967</v>
      </c>
      <c r="Q2" t="s">
        <v>1968</v>
      </c>
      <c r="R2" t="s">
        <v>1969</v>
      </c>
      <c r="S2" t="s">
        <v>1970</v>
      </c>
      <c r="T2" t="s">
        <v>1971</v>
      </c>
      <c r="U2" t="s">
        <v>1972</v>
      </c>
      <c r="V2" t="s">
        <v>1973</v>
      </c>
      <c r="W2" t="s">
        <v>1974</v>
      </c>
      <c r="X2" t="s">
        <v>1975</v>
      </c>
      <c r="Y2" t="s">
        <v>1976</v>
      </c>
      <c r="Z2" t="s">
        <v>1977</v>
      </c>
      <c r="AA2" t="s">
        <v>1978</v>
      </c>
      <c r="AB2" t="s">
        <v>1979</v>
      </c>
      <c r="AC2" t="s">
        <v>1980</v>
      </c>
      <c r="AD2" t="s">
        <v>1981</v>
      </c>
      <c r="AE2" t="s">
        <v>1982</v>
      </c>
      <c r="AF2" t="s">
        <v>1983</v>
      </c>
      <c r="AG2" t="s">
        <v>1984</v>
      </c>
      <c r="AH2" t="s">
        <v>1985</v>
      </c>
      <c r="AI2" t="s">
        <v>1986</v>
      </c>
      <c r="AJ2" t="s">
        <v>1987</v>
      </c>
      <c r="AK2" t="s">
        <v>1988</v>
      </c>
      <c r="AL2" t="s">
        <v>1989</v>
      </c>
      <c r="AM2" t="s">
        <v>1990</v>
      </c>
      <c r="AN2" t="s">
        <v>1991</v>
      </c>
      <c r="AO2" t="s">
        <v>1992</v>
      </c>
      <c r="AP2" t="s">
        <v>1993</v>
      </c>
      <c r="AQ2" t="s">
        <v>1994</v>
      </c>
      <c r="AR2" t="s">
        <v>1995</v>
      </c>
      <c r="AS2" t="s">
        <v>1996</v>
      </c>
      <c r="AT2" t="s">
        <v>1997</v>
      </c>
      <c r="AU2" t="s">
        <v>1998</v>
      </c>
      <c r="AV2" t="s">
        <v>1999</v>
      </c>
      <c r="AW2" t="s">
        <v>2000</v>
      </c>
      <c r="AX2" t="s">
        <v>2001</v>
      </c>
      <c r="AY2" t="s">
        <v>2002</v>
      </c>
      <c r="AZ2" t="s">
        <v>2003</v>
      </c>
      <c r="BA2" t="s">
        <v>2004</v>
      </c>
      <c r="BB2" t="s">
        <v>2005</v>
      </c>
      <c r="BC2" t="s">
        <v>2006</v>
      </c>
      <c r="BD2" t="s">
        <v>2007</v>
      </c>
      <c r="BE2" t="s">
        <v>2008</v>
      </c>
      <c r="BF2" t="s">
        <v>2009</v>
      </c>
      <c r="BG2" t="s">
        <v>2010</v>
      </c>
      <c r="BH2" t="s">
        <v>2011</v>
      </c>
      <c r="BI2" t="s">
        <v>2012</v>
      </c>
      <c r="BJ2" t="s">
        <v>2013</v>
      </c>
      <c r="BK2" t="s">
        <v>2014</v>
      </c>
      <c r="BL2" t="s">
        <v>2015</v>
      </c>
      <c r="BM2" t="s">
        <v>2016</v>
      </c>
      <c r="BN2" t="s">
        <v>2017</v>
      </c>
      <c r="BO2" t="s">
        <v>2018</v>
      </c>
      <c r="BP2" t="s">
        <v>2019</v>
      </c>
      <c r="BQ2" t="s">
        <v>2020</v>
      </c>
      <c r="BR2" t="s">
        <v>2021</v>
      </c>
      <c r="BS2" t="s">
        <v>2022</v>
      </c>
      <c r="BT2" t="s">
        <v>2023</v>
      </c>
      <c r="BU2" t="s">
        <v>2024</v>
      </c>
      <c r="BV2" t="s">
        <v>2025</v>
      </c>
      <c r="BW2" t="s">
        <v>2026</v>
      </c>
      <c r="BX2" t="s">
        <v>2027</v>
      </c>
      <c r="BY2" t="s">
        <v>2028</v>
      </c>
      <c r="BZ2" t="s">
        <v>2029</v>
      </c>
      <c r="CA2" t="s">
        <v>2030</v>
      </c>
      <c r="CB2" t="s">
        <v>2031</v>
      </c>
      <c r="CC2" t="s">
        <v>2032</v>
      </c>
      <c r="CD2" t="s">
        <v>2033</v>
      </c>
      <c r="CE2" t="s">
        <v>2034</v>
      </c>
      <c r="CF2" t="s">
        <v>2035</v>
      </c>
      <c r="CG2" t="s">
        <v>2036</v>
      </c>
      <c r="CH2" t="s">
        <v>2037</v>
      </c>
      <c r="CI2" t="s">
        <v>2038</v>
      </c>
      <c r="CJ2" t="s">
        <v>2039</v>
      </c>
      <c r="CK2" t="s">
        <v>2040</v>
      </c>
      <c r="CL2" t="s">
        <v>2041</v>
      </c>
      <c r="CM2" t="s">
        <v>2042</v>
      </c>
      <c r="CN2" t="s">
        <v>2043</v>
      </c>
      <c r="CO2" t="s">
        <v>2044</v>
      </c>
      <c r="CP2" t="s">
        <v>2045</v>
      </c>
      <c r="CQ2" t="s">
        <v>2046</v>
      </c>
      <c r="CR2" t="s">
        <v>2047</v>
      </c>
      <c r="CS2" t="s">
        <v>2048</v>
      </c>
      <c r="CT2" t="s">
        <v>2049</v>
      </c>
      <c r="CU2" t="s">
        <v>2050</v>
      </c>
      <c r="CV2" t="s">
        <v>2051</v>
      </c>
    </row>
    <row r="3" spans="1:100" x14ac:dyDescent="0.3">
      <c r="A3" t="s">
        <v>2052</v>
      </c>
      <c r="B3" t="s">
        <v>2052</v>
      </c>
      <c r="C3" t="s">
        <v>2052</v>
      </c>
      <c r="D3" t="s">
        <v>2052</v>
      </c>
      <c r="E3" t="s">
        <v>2052</v>
      </c>
      <c r="F3" t="s">
        <v>2052</v>
      </c>
      <c r="G3" t="s">
        <v>2053</v>
      </c>
      <c r="H3" t="s">
        <v>2054</v>
      </c>
      <c r="I3" t="s">
        <v>2055</v>
      </c>
      <c r="J3" t="s">
        <v>2056</v>
      </c>
      <c r="K3" t="s">
        <v>2057</v>
      </c>
      <c r="L3" t="s">
        <v>2058</v>
      </c>
      <c r="M3" t="s">
        <v>2059</v>
      </c>
      <c r="N3" t="s">
        <v>2060</v>
      </c>
      <c r="O3" t="s">
        <v>2061</v>
      </c>
      <c r="P3" t="s">
        <v>2062</v>
      </c>
      <c r="Q3" t="s">
        <v>2063</v>
      </c>
      <c r="R3" t="s">
        <v>2064</v>
      </c>
      <c r="S3" t="s">
        <v>2065</v>
      </c>
      <c r="T3" t="s">
        <v>2066</v>
      </c>
      <c r="U3" t="s">
        <v>2067</v>
      </c>
      <c r="V3" t="s">
        <v>2068</v>
      </c>
      <c r="W3" t="s">
        <v>2069</v>
      </c>
      <c r="X3" t="s">
        <v>2070</v>
      </c>
      <c r="Y3" t="s">
        <v>2071</v>
      </c>
      <c r="Z3" t="s">
        <v>2072</v>
      </c>
      <c r="AA3" t="s">
        <v>2073</v>
      </c>
      <c r="AB3" t="s">
        <v>2074</v>
      </c>
      <c r="AC3" t="s">
        <v>2075</v>
      </c>
      <c r="AD3" t="s">
        <v>2076</v>
      </c>
      <c r="AE3" t="s">
        <v>2077</v>
      </c>
      <c r="AF3" t="s">
        <v>2078</v>
      </c>
      <c r="AG3" t="s">
        <v>2079</v>
      </c>
      <c r="AH3" t="s">
        <v>2080</v>
      </c>
      <c r="AI3" t="s">
        <v>2081</v>
      </c>
      <c r="AJ3" t="s">
        <v>2082</v>
      </c>
      <c r="AK3" t="s">
        <v>2083</v>
      </c>
      <c r="AL3" t="s">
        <v>2084</v>
      </c>
      <c r="AM3" t="s">
        <v>2085</v>
      </c>
      <c r="AN3" t="s">
        <v>2086</v>
      </c>
      <c r="AO3" t="s">
        <v>2087</v>
      </c>
      <c r="AP3" t="s">
        <v>2088</v>
      </c>
      <c r="AQ3" t="s">
        <v>2089</v>
      </c>
      <c r="AR3" t="s">
        <v>2090</v>
      </c>
      <c r="AS3" t="s">
        <v>2091</v>
      </c>
      <c r="AT3" t="s">
        <v>2092</v>
      </c>
      <c r="AU3" t="s">
        <v>2093</v>
      </c>
      <c r="AV3" t="s">
        <v>2094</v>
      </c>
      <c r="AW3" t="s">
        <v>2095</v>
      </c>
      <c r="AX3" t="s">
        <v>2096</v>
      </c>
      <c r="AY3" t="s">
        <v>2097</v>
      </c>
      <c r="AZ3" t="s">
        <v>2098</v>
      </c>
      <c r="BA3" t="s">
        <v>2099</v>
      </c>
      <c r="BB3" t="s">
        <v>2100</v>
      </c>
      <c r="BC3" t="s">
        <v>2101</v>
      </c>
      <c r="BD3" t="s">
        <v>1171</v>
      </c>
      <c r="BE3" t="s">
        <v>2102</v>
      </c>
      <c r="BF3" t="s">
        <v>2103</v>
      </c>
      <c r="BG3" t="s">
        <v>2104</v>
      </c>
      <c r="BH3" t="s">
        <v>2105</v>
      </c>
      <c r="BI3" t="s">
        <v>2106</v>
      </c>
      <c r="BJ3" t="s">
        <v>2107</v>
      </c>
      <c r="BK3" t="s">
        <v>2108</v>
      </c>
      <c r="BL3" t="s">
        <v>2109</v>
      </c>
      <c r="BM3" t="s">
        <v>2110</v>
      </c>
      <c r="BN3" t="s">
        <v>2111</v>
      </c>
      <c r="BO3" t="s">
        <v>2112</v>
      </c>
      <c r="BP3" t="s">
        <v>2113</v>
      </c>
      <c r="BQ3" t="s">
        <v>2114</v>
      </c>
      <c r="BR3" t="s">
        <v>2115</v>
      </c>
      <c r="BS3" t="s">
        <v>2116</v>
      </c>
      <c r="BT3" t="s">
        <v>2117</v>
      </c>
      <c r="BU3" t="s">
        <v>2118</v>
      </c>
      <c r="BV3" t="s">
        <v>2119</v>
      </c>
      <c r="BW3" t="s">
        <v>2120</v>
      </c>
      <c r="BX3" t="s">
        <v>2121</v>
      </c>
      <c r="BY3" t="s">
        <v>2122</v>
      </c>
      <c r="BZ3" t="s">
        <v>2123</v>
      </c>
      <c r="CA3" t="s">
        <v>2124</v>
      </c>
      <c r="CB3" t="s">
        <v>2125</v>
      </c>
      <c r="CC3" t="s">
        <v>2126</v>
      </c>
      <c r="CD3" t="s">
        <v>2127</v>
      </c>
      <c r="CE3" t="s">
        <v>2128</v>
      </c>
      <c r="CF3" t="s">
        <v>2129</v>
      </c>
      <c r="CG3" t="s">
        <v>2130</v>
      </c>
      <c r="CH3" t="s">
        <v>2131</v>
      </c>
      <c r="CI3" t="s">
        <v>2132</v>
      </c>
      <c r="CJ3" t="s">
        <v>2133</v>
      </c>
      <c r="CK3" t="s">
        <v>2134</v>
      </c>
      <c r="CL3" t="s">
        <v>2135</v>
      </c>
      <c r="CM3" t="s">
        <v>2136</v>
      </c>
      <c r="CN3" t="s">
        <v>2137</v>
      </c>
      <c r="CO3" t="s">
        <v>2138</v>
      </c>
      <c r="CP3" t="s">
        <v>2139</v>
      </c>
      <c r="CQ3" t="s">
        <v>2140</v>
      </c>
      <c r="CR3" t="s">
        <v>2141</v>
      </c>
      <c r="CS3" t="s">
        <v>2142</v>
      </c>
      <c r="CT3" t="s">
        <v>2143</v>
      </c>
      <c r="CU3" t="s">
        <v>2144</v>
      </c>
      <c r="CV3" t="s">
        <v>2145</v>
      </c>
    </row>
    <row r="4" spans="1:100" x14ac:dyDescent="0.3">
      <c r="A4" t="s">
        <v>2146</v>
      </c>
      <c r="B4" t="s">
        <v>2146</v>
      </c>
      <c r="C4" t="s">
        <v>2146</v>
      </c>
      <c r="D4" t="s">
        <v>2146</v>
      </c>
      <c r="E4" t="s">
        <v>2146</v>
      </c>
      <c r="F4" t="s">
        <v>2146</v>
      </c>
      <c r="G4" t="s">
        <v>2147</v>
      </c>
      <c r="H4" t="s">
        <v>2148</v>
      </c>
      <c r="I4" t="s">
        <v>2149</v>
      </c>
      <c r="J4" t="s">
        <v>2150</v>
      </c>
      <c r="K4" t="s">
        <v>2151</v>
      </c>
      <c r="L4" t="s">
        <v>2152</v>
      </c>
      <c r="M4" t="s">
        <v>2153</v>
      </c>
      <c r="N4" t="s">
        <v>2154</v>
      </c>
      <c r="O4" t="s">
        <v>2155</v>
      </c>
      <c r="P4" t="s">
        <v>2156</v>
      </c>
      <c r="Q4" t="s">
        <v>2157</v>
      </c>
      <c r="R4" t="s">
        <v>2158</v>
      </c>
      <c r="S4" t="s">
        <v>2159</v>
      </c>
      <c r="T4" t="s">
        <v>2160</v>
      </c>
      <c r="U4" t="s">
        <v>2161</v>
      </c>
      <c r="V4" t="s">
        <v>2162</v>
      </c>
      <c r="W4" t="s">
        <v>2163</v>
      </c>
      <c r="X4" t="s">
        <v>2164</v>
      </c>
      <c r="Y4" t="s">
        <v>2165</v>
      </c>
      <c r="Z4" t="s">
        <v>2166</v>
      </c>
      <c r="AA4" t="s">
        <v>2167</v>
      </c>
      <c r="AB4" t="s">
        <v>2168</v>
      </c>
      <c r="AC4" t="s">
        <v>2169</v>
      </c>
      <c r="AD4" t="s">
        <v>2170</v>
      </c>
      <c r="AE4" t="s">
        <v>2171</v>
      </c>
      <c r="AF4" t="s">
        <v>2172</v>
      </c>
      <c r="AG4" t="s">
        <v>2173</v>
      </c>
      <c r="AH4" t="s">
        <v>2174</v>
      </c>
      <c r="AI4" t="s">
        <v>2175</v>
      </c>
      <c r="AJ4" t="s">
        <v>2176</v>
      </c>
      <c r="AK4" t="s">
        <v>2177</v>
      </c>
      <c r="AL4" t="s">
        <v>2178</v>
      </c>
      <c r="AM4" t="s">
        <v>2179</v>
      </c>
      <c r="AN4" t="s">
        <v>2180</v>
      </c>
      <c r="AO4" t="s">
        <v>2181</v>
      </c>
      <c r="AP4" t="s">
        <v>2182</v>
      </c>
      <c r="AQ4" t="s">
        <v>2183</v>
      </c>
      <c r="AR4" t="s">
        <v>2184</v>
      </c>
      <c r="AS4" t="s">
        <v>2185</v>
      </c>
      <c r="AT4" t="s">
        <v>2186</v>
      </c>
      <c r="AU4" t="s">
        <v>2187</v>
      </c>
      <c r="AV4" t="s">
        <v>2188</v>
      </c>
      <c r="AW4" t="s">
        <v>2189</v>
      </c>
      <c r="AX4" t="s">
        <v>2190</v>
      </c>
      <c r="AY4" t="s">
        <v>2191</v>
      </c>
      <c r="AZ4" t="s">
        <v>2192</v>
      </c>
      <c r="BA4" t="s">
        <v>2193</v>
      </c>
      <c r="BB4" t="s">
        <v>2194</v>
      </c>
      <c r="BC4" t="s">
        <v>2195</v>
      </c>
      <c r="BD4" t="s">
        <v>2196</v>
      </c>
      <c r="BE4" t="s">
        <v>2197</v>
      </c>
      <c r="BF4" t="s">
        <v>2198</v>
      </c>
      <c r="BG4" t="s">
        <v>2199</v>
      </c>
      <c r="BH4" t="s">
        <v>2200</v>
      </c>
      <c r="BI4" t="s">
        <v>2201</v>
      </c>
      <c r="BJ4" t="s">
        <v>2202</v>
      </c>
      <c r="BK4" t="s">
        <v>2203</v>
      </c>
      <c r="BL4" t="s">
        <v>2204</v>
      </c>
      <c r="BM4" t="s">
        <v>2205</v>
      </c>
      <c r="BN4" t="s">
        <v>2206</v>
      </c>
      <c r="BO4" t="s">
        <v>2207</v>
      </c>
      <c r="BP4" t="s">
        <v>2208</v>
      </c>
      <c r="BQ4" t="s">
        <v>2209</v>
      </c>
      <c r="BR4" t="s">
        <v>2210</v>
      </c>
      <c r="BS4" t="s">
        <v>2211</v>
      </c>
      <c r="BT4" t="s">
        <v>2212</v>
      </c>
      <c r="BU4" t="s">
        <v>2213</v>
      </c>
      <c r="BV4" t="s">
        <v>2214</v>
      </c>
      <c r="BW4" t="s">
        <v>2215</v>
      </c>
      <c r="BX4" t="s">
        <v>2216</v>
      </c>
      <c r="BY4" t="s">
        <v>2217</v>
      </c>
      <c r="BZ4" t="s">
        <v>2218</v>
      </c>
      <c r="CA4" t="s">
        <v>2219</v>
      </c>
      <c r="CB4" t="s">
        <v>2220</v>
      </c>
      <c r="CC4" t="s">
        <v>2221</v>
      </c>
      <c r="CD4" t="s">
        <v>2222</v>
      </c>
      <c r="CE4" t="s">
        <v>2223</v>
      </c>
      <c r="CF4" t="s">
        <v>2224</v>
      </c>
      <c r="CG4" t="s">
        <v>2225</v>
      </c>
      <c r="CH4" t="s">
        <v>2226</v>
      </c>
      <c r="CI4" t="s">
        <v>2227</v>
      </c>
      <c r="CJ4" t="s">
        <v>2228</v>
      </c>
      <c r="CK4" t="s">
        <v>2229</v>
      </c>
      <c r="CL4" t="s">
        <v>2230</v>
      </c>
      <c r="CM4" t="s">
        <v>2231</v>
      </c>
      <c r="CN4" t="s">
        <v>2232</v>
      </c>
      <c r="CO4" t="s">
        <v>2233</v>
      </c>
      <c r="CP4" t="s">
        <v>2234</v>
      </c>
      <c r="CQ4" t="s">
        <v>2235</v>
      </c>
      <c r="CR4" t="s">
        <v>2236</v>
      </c>
      <c r="CS4" t="s">
        <v>2237</v>
      </c>
      <c r="CT4" t="s">
        <v>2238</v>
      </c>
      <c r="CU4" t="s">
        <v>2239</v>
      </c>
      <c r="CV4" t="s">
        <v>2240</v>
      </c>
    </row>
    <row r="5" spans="1:100" x14ac:dyDescent="0.3">
      <c r="A5" t="s">
        <v>2146</v>
      </c>
      <c r="B5" t="s">
        <v>2146</v>
      </c>
      <c r="C5" t="s">
        <v>2146</v>
      </c>
      <c r="D5" t="s">
        <v>2146</v>
      </c>
      <c r="E5" t="s">
        <v>2146</v>
      </c>
      <c r="F5" t="s">
        <v>2146</v>
      </c>
      <c r="G5" t="s">
        <v>2147</v>
      </c>
      <c r="H5" t="s">
        <v>2148</v>
      </c>
      <c r="I5" t="s">
        <v>2149</v>
      </c>
      <c r="J5" t="s">
        <v>2150</v>
      </c>
      <c r="K5" t="s">
        <v>2151</v>
      </c>
      <c r="L5" t="s">
        <v>2152</v>
      </c>
      <c r="M5" t="s">
        <v>2153</v>
      </c>
      <c r="N5" t="s">
        <v>2154</v>
      </c>
      <c r="O5" t="s">
        <v>2155</v>
      </c>
      <c r="P5" t="s">
        <v>2156</v>
      </c>
      <c r="Q5" t="s">
        <v>2157</v>
      </c>
      <c r="R5" t="s">
        <v>2158</v>
      </c>
      <c r="S5" t="s">
        <v>2159</v>
      </c>
      <c r="T5" t="s">
        <v>2160</v>
      </c>
      <c r="U5" t="s">
        <v>2161</v>
      </c>
      <c r="V5" t="s">
        <v>2162</v>
      </c>
      <c r="W5" t="s">
        <v>2163</v>
      </c>
      <c r="X5" t="s">
        <v>2164</v>
      </c>
      <c r="Y5" t="s">
        <v>2165</v>
      </c>
      <c r="Z5" t="s">
        <v>2166</v>
      </c>
      <c r="AA5" t="s">
        <v>2167</v>
      </c>
      <c r="AB5" t="s">
        <v>2168</v>
      </c>
      <c r="AC5" t="s">
        <v>2169</v>
      </c>
      <c r="AD5" t="s">
        <v>2170</v>
      </c>
      <c r="AE5" t="s">
        <v>2171</v>
      </c>
      <c r="AF5" t="s">
        <v>2172</v>
      </c>
      <c r="AG5" t="s">
        <v>2173</v>
      </c>
      <c r="AH5" t="s">
        <v>2174</v>
      </c>
      <c r="AI5" t="s">
        <v>2175</v>
      </c>
      <c r="AJ5" t="s">
        <v>2176</v>
      </c>
      <c r="AK5" t="s">
        <v>2177</v>
      </c>
      <c r="AL5" t="s">
        <v>2178</v>
      </c>
      <c r="AM5" t="s">
        <v>2179</v>
      </c>
      <c r="AN5" t="s">
        <v>2180</v>
      </c>
      <c r="AO5" t="s">
        <v>2181</v>
      </c>
      <c r="AP5" t="s">
        <v>2182</v>
      </c>
      <c r="AQ5" t="s">
        <v>2183</v>
      </c>
      <c r="AR5" t="s">
        <v>2184</v>
      </c>
      <c r="AS5" t="s">
        <v>2185</v>
      </c>
      <c r="AT5" t="s">
        <v>2186</v>
      </c>
      <c r="AU5" t="s">
        <v>2187</v>
      </c>
      <c r="AV5" t="s">
        <v>2188</v>
      </c>
      <c r="AW5" t="s">
        <v>2189</v>
      </c>
      <c r="AX5" t="s">
        <v>2190</v>
      </c>
      <c r="AY5" t="s">
        <v>2191</v>
      </c>
      <c r="AZ5" t="s">
        <v>2192</v>
      </c>
      <c r="BA5" t="s">
        <v>2193</v>
      </c>
      <c r="BB5" t="s">
        <v>2194</v>
      </c>
      <c r="BC5" t="s">
        <v>2195</v>
      </c>
      <c r="BD5" t="s">
        <v>2196</v>
      </c>
      <c r="BE5" t="s">
        <v>2197</v>
      </c>
      <c r="BF5" t="s">
        <v>2198</v>
      </c>
      <c r="BG5" t="s">
        <v>2199</v>
      </c>
      <c r="BH5" t="s">
        <v>2200</v>
      </c>
      <c r="BI5" t="s">
        <v>2201</v>
      </c>
      <c r="BJ5" t="s">
        <v>2202</v>
      </c>
      <c r="BK5" t="s">
        <v>2203</v>
      </c>
      <c r="BL5" t="s">
        <v>2204</v>
      </c>
      <c r="BM5" t="s">
        <v>2205</v>
      </c>
      <c r="BN5" t="s">
        <v>2206</v>
      </c>
      <c r="BO5" t="s">
        <v>2207</v>
      </c>
      <c r="BP5" t="s">
        <v>2208</v>
      </c>
      <c r="BQ5" t="s">
        <v>2209</v>
      </c>
      <c r="BR5" t="s">
        <v>2210</v>
      </c>
      <c r="BS5" t="s">
        <v>2211</v>
      </c>
      <c r="BT5" t="s">
        <v>2212</v>
      </c>
      <c r="BU5" t="s">
        <v>2213</v>
      </c>
      <c r="BV5" t="s">
        <v>2214</v>
      </c>
      <c r="BW5" t="s">
        <v>2215</v>
      </c>
      <c r="BX5" t="s">
        <v>2216</v>
      </c>
      <c r="BY5" t="s">
        <v>2217</v>
      </c>
      <c r="BZ5" t="s">
        <v>2218</v>
      </c>
      <c r="CA5" t="s">
        <v>2219</v>
      </c>
      <c r="CB5" t="s">
        <v>2220</v>
      </c>
      <c r="CC5" t="s">
        <v>2221</v>
      </c>
      <c r="CD5" t="s">
        <v>2222</v>
      </c>
      <c r="CE5" t="s">
        <v>2223</v>
      </c>
      <c r="CF5" t="s">
        <v>2224</v>
      </c>
      <c r="CG5" t="s">
        <v>2225</v>
      </c>
      <c r="CH5" t="s">
        <v>2226</v>
      </c>
      <c r="CI5" t="s">
        <v>2227</v>
      </c>
      <c r="CJ5" t="s">
        <v>2228</v>
      </c>
      <c r="CK5" t="s">
        <v>2229</v>
      </c>
      <c r="CL5" t="s">
        <v>2230</v>
      </c>
      <c r="CM5" t="s">
        <v>2231</v>
      </c>
      <c r="CN5" t="s">
        <v>2232</v>
      </c>
      <c r="CO5" t="s">
        <v>2233</v>
      </c>
      <c r="CP5" t="s">
        <v>2234</v>
      </c>
      <c r="CQ5" t="s">
        <v>2235</v>
      </c>
      <c r="CR5" t="s">
        <v>2236</v>
      </c>
      <c r="CS5" t="s">
        <v>2237</v>
      </c>
      <c r="CT5" t="s">
        <v>2238</v>
      </c>
      <c r="CU5" t="s">
        <v>2239</v>
      </c>
      <c r="CV5" t="s">
        <v>2240</v>
      </c>
    </row>
    <row r="6" spans="1:100" x14ac:dyDescent="0.3">
      <c r="A6" t="s">
        <v>2052</v>
      </c>
      <c r="B6" t="s">
        <v>2052</v>
      </c>
      <c r="C6" t="s">
        <v>2052</v>
      </c>
      <c r="D6" t="s">
        <v>2052</v>
      </c>
      <c r="E6" t="s">
        <v>2052</v>
      </c>
      <c r="F6" t="s">
        <v>2052</v>
      </c>
      <c r="G6" t="s">
        <v>2053</v>
      </c>
      <c r="H6" t="s">
        <v>2054</v>
      </c>
      <c r="I6" t="s">
        <v>2055</v>
      </c>
      <c r="J6" t="s">
        <v>2056</v>
      </c>
      <c r="K6" t="s">
        <v>2057</v>
      </c>
      <c r="L6" t="s">
        <v>2058</v>
      </c>
      <c r="M6" t="s">
        <v>2059</v>
      </c>
      <c r="N6" t="s">
        <v>2060</v>
      </c>
      <c r="O6" t="s">
        <v>2061</v>
      </c>
      <c r="P6" t="s">
        <v>2062</v>
      </c>
      <c r="Q6" t="s">
        <v>2063</v>
      </c>
      <c r="R6" t="s">
        <v>2064</v>
      </c>
      <c r="S6" t="s">
        <v>2065</v>
      </c>
      <c r="T6" t="s">
        <v>2066</v>
      </c>
      <c r="U6" t="s">
        <v>2067</v>
      </c>
      <c r="V6" t="s">
        <v>2068</v>
      </c>
      <c r="W6" t="s">
        <v>2069</v>
      </c>
      <c r="X6" t="s">
        <v>2070</v>
      </c>
      <c r="Y6" t="s">
        <v>2071</v>
      </c>
      <c r="Z6" t="s">
        <v>2072</v>
      </c>
      <c r="AA6" t="s">
        <v>2073</v>
      </c>
      <c r="AB6" t="s">
        <v>2074</v>
      </c>
      <c r="AC6" t="s">
        <v>2075</v>
      </c>
      <c r="AD6" t="s">
        <v>2076</v>
      </c>
      <c r="AE6" t="s">
        <v>2077</v>
      </c>
      <c r="AF6" t="s">
        <v>2078</v>
      </c>
      <c r="AG6" t="s">
        <v>2079</v>
      </c>
      <c r="AH6" t="s">
        <v>2080</v>
      </c>
      <c r="AI6" t="s">
        <v>2081</v>
      </c>
      <c r="AJ6" t="s">
        <v>2082</v>
      </c>
      <c r="AK6" t="s">
        <v>2083</v>
      </c>
      <c r="AL6" t="s">
        <v>2084</v>
      </c>
      <c r="AM6" t="s">
        <v>2085</v>
      </c>
      <c r="AN6" t="s">
        <v>2086</v>
      </c>
      <c r="AO6" t="s">
        <v>2087</v>
      </c>
      <c r="AP6" t="s">
        <v>2088</v>
      </c>
      <c r="AQ6" t="s">
        <v>2089</v>
      </c>
      <c r="AR6" t="s">
        <v>2090</v>
      </c>
      <c r="AS6" t="s">
        <v>2091</v>
      </c>
      <c r="AT6" t="s">
        <v>2092</v>
      </c>
      <c r="AU6" t="s">
        <v>2093</v>
      </c>
      <c r="AV6" t="s">
        <v>2094</v>
      </c>
      <c r="AW6" t="s">
        <v>2095</v>
      </c>
      <c r="AX6" t="s">
        <v>2096</v>
      </c>
      <c r="AY6" t="s">
        <v>2097</v>
      </c>
      <c r="AZ6" t="s">
        <v>2098</v>
      </c>
      <c r="BA6" t="s">
        <v>2099</v>
      </c>
      <c r="BB6" t="s">
        <v>2100</v>
      </c>
      <c r="BC6" t="s">
        <v>2101</v>
      </c>
      <c r="BD6" t="s">
        <v>1171</v>
      </c>
      <c r="BE6" t="s">
        <v>2102</v>
      </c>
      <c r="BF6" t="s">
        <v>2103</v>
      </c>
      <c r="BG6" t="s">
        <v>2104</v>
      </c>
      <c r="BH6" t="s">
        <v>2105</v>
      </c>
      <c r="BI6" t="s">
        <v>2106</v>
      </c>
      <c r="BJ6" t="s">
        <v>2107</v>
      </c>
      <c r="BK6" t="s">
        <v>2108</v>
      </c>
      <c r="BL6" t="s">
        <v>2109</v>
      </c>
      <c r="BM6" t="s">
        <v>2110</v>
      </c>
      <c r="BN6" t="s">
        <v>2111</v>
      </c>
      <c r="BO6" t="s">
        <v>2112</v>
      </c>
      <c r="BP6" t="s">
        <v>2113</v>
      </c>
      <c r="BQ6" t="s">
        <v>2114</v>
      </c>
      <c r="BR6" t="s">
        <v>2115</v>
      </c>
      <c r="BS6" t="s">
        <v>2116</v>
      </c>
      <c r="BT6" t="s">
        <v>2117</v>
      </c>
      <c r="BU6" t="s">
        <v>2118</v>
      </c>
      <c r="BV6" t="s">
        <v>2119</v>
      </c>
      <c r="BW6" t="s">
        <v>2120</v>
      </c>
      <c r="BX6" t="s">
        <v>2121</v>
      </c>
      <c r="BY6" t="s">
        <v>2122</v>
      </c>
      <c r="BZ6" t="s">
        <v>2123</v>
      </c>
      <c r="CA6" t="s">
        <v>2124</v>
      </c>
      <c r="CB6" t="s">
        <v>2125</v>
      </c>
      <c r="CC6" t="s">
        <v>2126</v>
      </c>
      <c r="CD6" t="s">
        <v>2127</v>
      </c>
      <c r="CE6" t="s">
        <v>2128</v>
      </c>
      <c r="CF6" t="s">
        <v>2129</v>
      </c>
      <c r="CG6" t="s">
        <v>2130</v>
      </c>
      <c r="CH6" t="s">
        <v>2131</v>
      </c>
      <c r="CI6" t="s">
        <v>2132</v>
      </c>
      <c r="CJ6" t="s">
        <v>2133</v>
      </c>
      <c r="CK6" t="s">
        <v>2134</v>
      </c>
      <c r="CL6" t="s">
        <v>2135</v>
      </c>
      <c r="CM6" t="s">
        <v>2136</v>
      </c>
      <c r="CN6" t="s">
        <v>2137</v>
      </c>
      <c r="CO6" t="s">
        <v>2138</v>
      </c>
      <c r="CP6" t="s">
        <v>2139</v>
      </c>
      <c r="CQ6" t="s">
        <v>2140</v>
      </c>
      <c r="CR6" t="s">
        <v>2141</v>
      </c>
      <c r="CS6" t="s">
        <v>2142</v>
      </c>
      <c r="CT6" t="s">
        <v>2143</v>
      </c>
      <c r="CU6" t="s">
        <v>2144</v>
      </c>
      <c r="CV6" t="s">
        <v>2145</v>
      </c>
    </row>
    <row r="7" spans="1:100" x14ac:dyDescent="0.3">
      <c r="A7" t="s">
        <v>1000</v>
      </c>
      <c r="B7" t="s">
        <v>2241</v>
      </c>
      <c r="C7" t="s">
        <v>2242</v>
      </c>
      <c r="D7" t="s">
        <v>2243</v>
      </c>
      <c r="E7" t="s">
        <v>2244</v>
      </c>
      <c r="F7" t="s">
        <v>2245</v>
      </c>
      <c r="G7" t="s">
        <v>2246</v>
      </c>
      <c r="H7" t="s">
        <v>2247</v>
      </c>
      <c r="I7" t="s">
        <v>2248</v>
      </c>
      <c r="J7" t="s">
        <v>2249</v>
      </c>
      <c r="K7" t="s">
        <v>2250</v>
      </c>
      <c r="L7" t="s">
        <v>2251</v>
      </c>
      <c r="M7" t="s">
        <v>2252</v>
      </c>
      <c r="N7" t="s">
        <v>2253</v>
      </c>
      <c r="O7" t="s">
        <v>2254</v>
      </c>
      <c r="P7" t="s">
        <v>2255</v>
      </c>
      <c r="Q7" t="s">
        <v>2256</v>
      </c>
      <c r="R7" t="s">
        <v>2257</v>
      </c>
      <c r="S7" t="s">
        <v>2258</v>
      </c>
      <c r="T7" t="s">
        <v>2259</v>
      </c>
      <c r="U7" t="s">
        <v>2260</v>
      </c>
      <c r="V7" t="s">
        <v>2261</v>
      </c>
      <c r="W7" t="s">
        <v>2262</v>
      </c>
      <c r="X7" t="s">
        <v>2263</v>
      </c>
      <c r="Y7" t="s">
        <v>2264</v>
      </c>
      <c r="Z7" t="s">
        <v>2265</v>
      </c>
      <c r="AA7" t="s">
        <v>2266</v>
      </c>
      <c r="AB7" t="s">
        <v>2267</v>
      </c>
      <c r="AC7" t="s">
        <v>2268</v>
      </c>
      <c r="AD7" t="s">
        <v>2269</v>
      </c>
      <c r="AE7" t="s">
        <v>2270</v>
      </c>
      <c r="AF7" t="s">
        <v>2271</v>
      </c>
      <c r="AG7" t="s">
        <v>2272</v>
      </c>
      <c r="AH7" t="s">
        <v>2273</v>
      </c>
      <c r="AI7" t="s">
        <v>2274</v>
      </c>
      <c r="AJ7" t="s">
        <v>2275</v>
      </c>
      <c r="AK7" t="s">
        <v>2276</v>
      </c>
      <c r="AL7" t="s">
        <v>2277</v>
      </c>
      <c r="AM7" t="s">
        <v>2278</v>
      </c>
      <c r="AN7" t="s">
        <v>2279</v>
      </c>
      <c r="AO7" t="s">
        <v>2280</v>
      </c>
      <c r="AP7" t="s">
        <v>2281</v>
      </c>
      <c r="AQ7" t="s">
        <v>2282</v>
      </c>
      <c r="AR7" t="s">
        <v>2283</v>
      </c>
      <c r="AS7" t="s">
        <v>2284</v>
      </c>
      <c r="AT7" t="s">
        <v>2285</v>
      </c>
      <c r="AU7" t="s">
        <v>2286</v>
      </c>
      <c r="AV7" t="s">
        <v>2287</v>
      </c>
      <c r="AW7" t="s">
        <v>2288</v>
      </c>
      <c r="AX7" t="s">
        <v>2289</v>
      </c>
      <c r="AY7" t="s">
        <v>2290</v>
      </c>
      <c r="AZ7" t="s">
        <v>2291</v>
      </c>
      <c r="BA7" t="s">
        <v>2292</v>
      </c>
      <c r="BB7" t="s">
        <v>2293</v>
      </c>
      <c r="BC7" t="s">
        <v>2294</v>
      </c>
      <c r="BD7" t="s">
        <v>2295</v>
      </c>
      <c r="BE7" t="s">
        <v>2296</v>
      </c>
      <c r="BF7" t="s">
        <v>2297</v>
      </c>
      <c r="BG7" t="s">
        <v>2298</v>
      </c>
      <c r="BH7" t="s">
        <v>2299</v>
      </c>
      <c r="BI7" t="s">
        <v>2300</v>
      </c>
      <c r="BJ7" t="s">
        <v>2301</v>
      </c>
      <c r="BK7" t="s">
        <v>2302</v>
      </c>
      <c r="BL7" t="s">
        <v>2303</v>
      </c>
      <c r="BM7" t="s">
        <v>2304</v>
      </c>
      <c r="BN7" t="s">
        <v>2305</v>
      </c>
      <c r="BO7" t="s">
        <v>2306</v>
      </c>
      <c r="BP7" t="s">
        <v>2307</v>
      </c>
      <c r="BQ7" t="s">
        <v>2308</v>
      </c>
      <c r="BR7" t="s">
        <v>2309</v>
      </c>
      <c r="BS7" t="s">
        <v>2310</v>
      </c>
      <c r="BT7" t="s">
        <v>2311</v>
      </c>
      <c r="BU7" t="s">
        <v>2312</v>
      </c>
      <c r="BV7" t="s">
        <v>2313</v>
      </c>
      <c r="BW7" t="s">
        <v>2314</v>
      </c>
      <c r="BX7" t="s">
        <v>2315</v>
      </c>
      <c r="BY7" t="s">
        <v>2316</v>
      </c>
      <c r="BZ7" t="s">
        <v>2317</v>
      </c>
      <c r="CA7" t="s">
        <v>2318</v>
      </c>
      <c r="CB7" t="s">
        <v>2319</v>
      </c>
      <c r="CC7" t="s">
        <v>2320</v>
      </c>
      <c r="CD7" t="s">
        <v>2321</v>
      </c>
      <c r="CE7" t="s">
        <v>2322</v>
      </c>
      <c r="CF7" t="s">
        <v>2323</v>
      </c>
      <c r="CG7" t="s">
        <v>2324</v>
      </c>
      <c r="CH7" t="s">
        <v>2325</v>
      </c>
      <c r="CI7" t="s">
        <v>2326</v>
      </c>
      <c r="CJ7" t="s">
        <v>2327</v>
      </c>
      <c r="CK7" t="s">
        <v>2328</v>
      </c>
      <c r="CL7" t="s">
        <v>2329</v>
      </c>
      <c r="CM7" t="s">
        <v>2330</v>
      </c>
      <c r="CN7" t="s">
        <v>2331</v>
      </c>
      <c r="CO7" t="s">
        <v>2332</v>
      </c>
      <c r="CP7" t="s">
        <v>2333</v>
      </c>
      <c r="CQ7" t="s">
        <v>2334</v>
      </c>
      <c r="CR7" t="s">
        <v>2335</v>
      </c>
      <c r="CS7" t="s">
        <v>2336</v>
      </c>
      <c r="CT7" t="s">
        <v>2337</v>
      </c>
      <c r="CU7" t="s">
        <v>2338</v>
      </c>
      <c r="CV7" t="s">
        <v>2339</v>
      </c>
    </row>
    <row r="8" spans="1:100" x14ac:dyDescent="0.3">
      <c r="A8">
        <f>A7-360</f>
        <v>-360</v>
      </c>
      <c r="B8">
        <f t="shared" ref="B8:J8" si="0">B7-360</f>
        <v>-39.125200000000007</v>
      </c>
      <c r="C8">
        <f t="shared" si="0"/>
        <v>-39.537399999999991</v>
      </c>
      <c r="D8">
        <f t="shared" si="0"/>
        <v>-38.551699999999983</v>
      </c>
      <c r="E8">
        <f t="shared" si="0"/>
        <v>-37.042100000000005</v>
      </c>
      <c r="F8">
        <f t="shared" si="0"/>
        <v>-35.885899999999992</v>
      </c>
      <c r="G8">
        <f t="shared" si="0"/>
        <v>-34.606699999999989</v>
      </c>
      <c r="H8">
        <f t="shared" si="0"/>
        <v>-33.8904</v>
      </c>
      <c r="I8">
        <f t="shared" si="0"/>
        <v>-33.678400000000011</v>
      </c>
      <c r="J8">
        <f t="shared" si="0"/>
        <v>-33.968900000000019</v>
      </c>
      <c r="K8">
        <f t="shared" ref="K8" si="1">K7-360</f>
        <v>-34.507600000000025</v>
      </c>
      <c r="L8">
        <f t="shared" ref="L8" si="2">L7-360</f>
        <v>-34.58929999999998</v>
      </c>
      <c r="M8">
        <f t="shared" ref="M8" si="3">M7-360</f>
        <v>-33.590700000000027</v>
      </c>
      <c r="N8">
        <f t="shared" ref="N8" si="4">N7-360</f>
        <v>-31.783999999999992</v>
      </c>
      <c r="O8">
        <f t="shared" ref="O8" si="5">O7-360</f>
        <v>-29.942499999999995</v>
      </c>
      <c r="P8">
        <f t="shared" ref="P8" si="6">P7-360</f>
        <v>-28.514400000000023</v>
      </c>
      <c r="Q8">
        <f t="shared" ref="Q8" si="7">Q7-360</f>
        <v>-27.537500000000023</v>
      </c>
      <c r="R8">
        <f t="shared" ref="R8:S8" si="8">R7-360</f>
        <v>-26.930200000000013</v>
      </c>
      <c r="S8">
        <f t="shared" si="8"/>
        <v>-26.674399999999991</v>
      </c>
      <c r="T8">
        <f t="shared" ref="T8" si="9">T7-360</f>
        <v>-26.738600000000019</v>
      </c>
      <c r="U8">
        <f t="shared" ref="U8" si="10">U7-360</f>
        <v>-26.868499999999983</v>
      </c>
      <c r="V8">
        <f t="shared" ref="V8" si="11">V7-360</f>
        <v>-26.576999999999998</v>
      </c>
      <c r="W8">
        <f t="shared" ref="W8" si="12">W7-360</f>
        <v>-25.564700000000016</v>
      </c>
      <c r="X8">
        <f t="shared" ref="X8" si="13">X7-360</f>
        <v>-24.081099999999992</v>
      </c>
      <c r="Y8">
        <f t="shared" ref="Y8" si="14">Y7-360</f>
        <v>-22.61239999999998</v>
      </c>
      <c r="Z8">
        <f t="shared" ref="Z8" si="15">Z7-360</f>
        <v>-21.433600000000013</v>
      </c>
      <c r="AA8">
        <f t="shared" ref="AA8:AB8" si="16">AA7-360</f>
        <v>-20.565600000000018</v>
      </c>
      <c r="AB8">
        <f t="shared" si="16"/>
        <v>-19.958199999999977</v>
      </c>
      <c r="AC8">
        <f t="shared" ref="AC8" si="17">AC7-360</f>
        <v>-19.602599999999995</v>
      </c>
      <c r="AD8">
        <f t="shared" ref="AD8" si="18">AD7-360</f>
        <v>-19.462300000000027</v>
      </c>
      <c r="AE8">
        <f t="shared" ref="AE8" si="19">AE7-360</f>
        <v>-19.338799999999992</v>
      </c>
      <c r="AF8">
        <f t="shared" ref="AF8" si="20">AF7-360</f>
        <v>-18.903399999999976</v>
      </c>
      <c r="AG8">
        <f t="shared" ref="AG8" si="21">AG7-360</f>
        <v>-17.979600000000005</v>
      </c>
      <c r="AH8">
        <f t="shared" ref="AH8" si="22">AH7-360</f>
        <v>-16.739399999999989</v>
      </c>
      <c r="AI8">
        <f t="shared" ref="AI8" si="23">AI7-360</f>
        <v>-15.503199999999993</v>
      </c>
      <c r="AJ8">
        <f t="shared" ref="AJ8:AK8" si="24">AJ7-360</f>
        <v>-14.463199999999972</v>
      </c>
      <c r="AK8">
        <f t="shared" si="24"/>
        <v>-13.647400000000005</v>
      </c>
      <c r="AL8">
        <f t="shared" ref="AL8" si="25">AL7-360</f>
        <v>-13.03370000000001</v>
      </c>
      <c r="AM8">
        <f t="shared" ref="AM8" si="26">AM7-360</f>
        <v>-12.615700000000004</v>
      </c>
      <c r="AN8">
        <f t="shared" ref="AN8" si="27">AN7-360</f>
        <v>-12.3476</v>
      </c>
      <c r="AO8">
        <f t="shared" ref="AO8" si="28">AO7-360</f>
        <v>-12.066500000000019</v>
      </c>
      <c r="AP8">
        <f t="shared" ref="AP8" si="29">AP7-360</f>
        <v>-11.544699999999978</v>
      </c>
      <c r="AQ8">
        <f t="shared" ref="AQ8" si="30">AQ7-360</f>
        <v>-10.678999999999974</v>
      </c>
      <c r="AR8">
        <f t="shared" ref="AR8" si="31">AR7-360</f>
        <v>-9.5926000000000045</v>
      </c>
      <c r="AS8">
        <f t="shared" ref="AS8:AT8" si="32">AS7-360</f>
        <v>-8.4986000000000104</v>
      </c>
      <c r="AT8">
        <f t="shared" si="32"/>
        <v>-7.5366999999999962</v>
      </c>
      <c r="AU8">
        <f t="shared" ref="AU8" si="33">AU7-360</f>
        <v>-6.7542000000000257</v>
      </c>
      <c r="AV8">
        <f t="shared" ref="AV8" si="34">AV7-360</f>
        <v>-6.1610000000000014</v>
      </c>
      <c r="AW8">
        <f t="shared" ref="AW8" si="35">AW7-360</f>
        <v>-5.7420999999999935</v>
      </c>
      <c r="AX8">
        <f t="shared" ref="AX8" si="36">AX7-360</f>
        <v>-5.4182999999999879</v>
      </c>
      <c r="AY8">
        <f t="shared" ref="AY8" si="37">AY7-360</f>
        <v>-5.0348000000000184</v>
      </c>
      <c r="AZ8">
        <f t="shared" ref="AZ8" si="38">AZ7-360</f>
        <v>-4.436300000000017</v>
      </c>
      <c r="BA8">
        <f t="shared" ref="BA8" si="39">BA7-360</f>
        <v>-3.5822999999999752</v>
      </c>
      <c r="BB8">
        <f t="shared" ref="BB8:BC8" si="40">BB7-360</f>
        <v>-2.567799999999977</v>
      </c>
      <c r="BC8">
        <f t="shared" si="40"/>
        <v>-1.5335999999999785</v>
      </c>
      <c r="BD8">
        <f t="shared" ref="BD8" si="41">BD7-360</f>
        <v>-0.60129999999998063</v>
      </c>
      <c r="BE8">
        <f>BE7*10/10</f>
        <v>0.13692550000000001</v>
      </c>
      <c r="BF8">
        <f t="shared" ref="BF8:CV8" si="42">BF7*10/10</f>
        <v>0.64715489999999998</v>
      </c>
      <c r="BG8">
        <f t="shared" si="42"/>
        <v>0.9961179</v>
      </c>
      <c r="BH8">
        <f t="shared" si="42"/>
        <v>1.3309359999999999</v>
      </c>
      <c r="BI8">
        <f t="shared" si="42"/>
        <v>1.8009840000000001</v>
      </c>
      <c r="BJ8">
        <f t="shared" si="42"/>
        <v>2.4866250000000001</v>
      </c>
      <c r="BK8">
        <f t="shared" si="42"/>
        <v>3.3822139999999998</v>
      </c>
      <c r="BL8">
        <f t="shared" si="42"/>
        <v>4.4226739999999998</v>
      </c>
      <c r="BM8">
        <f t="shared" si="42"/>
        <v>5.4861519999999997</v>
      </c>
      <c r="BN8">
        <f t="shared" si="42"/>
        <v>6.3858079999999999</v>
      </c>
      <c r="BO8">
        <f t="shared" si="42"/>
        <v>6.9673499999999988</v>
      </c>
      <c r="BP8">
        <f t="shared" si="42"/>
        <v>7.2717510000000001</v>
      </c>
      <c r="BQ8">
        <f t="shared" si="42"/>
        <v>7.5140410000000006</v>
      </c>
      <c r="BR8">
        <f t="shared" si="42"/>
        <v>7.8932249999999993</v>
      </c>
      <c r="BS8">
        <f t="shared" si="42"/>
        <v>8.4895080000000007</v>
      </c>
      <c r="BT8">
        <f t="shared" si="42"/>
        <v>9.3162719999999997</v>
      </c>
      <c r="BU8">
        <f t="shared" si="42"/>
        <v>10.37669</v>
      </c>
      <c r="BV8">
        <f t="shared" si="42"/>
        <v>11.582520000000001</v>
      </c>
      <c r="BW8">
        <f t="shared" si="42"/>
        <v>12.64298</v>
      </c>
      <c r="BX8">
        <f t="shared" si="42"/>
        <v>13.22935</v>
      </c>
      <c r="BY8">
        <f t="shared" si="42"/>
        <v>13.373560000000001</v>
      </c>
      <c r="BZ8">
        <f t="shared" si="42"/>
        <v>13.449199999999999</v>
      </c>
      <c r="CA8">
        <f t="shared" si="42"/>
        <v>13.747409999999999</v>
      </c>
      <c r="CB8">
        <f t="shared" si="42"/>
        <v>14.324340000000001</v>
      </c>
      <c r="CC8">
        <f t="shared" si="42"/>
        <v>15.18995</v>
      </c>
      <c r="CD8">
        <f t="shared" si="42"/>
        <v>16.405840000000001</v>
      </c>
      <c r="CE8">
        <f t="shared" si="42"/>
        <v>17.83672</v>
      </c>
      <c r="CF8">
        <f t="shared" si="42"/>
        <v>18.922630000000002</v>
      </c>
      <c r="CG8">
        <f t="shared" si="42"/>
        <v>19.182870000000001</v>
      </c>
      <c r="CH8">
        <f t="shared" si="42"/>
        <v>18.957370000000001</v>
      </c>
      <c r="CI8">
        <f t="shared" si="42"/>
        <v>18.903580000000002</v>
      </c>
      <c r="CJ8">
        <f t="shared" si="42"/>
        <v>19.25365</v>
      </c>
      <c r="CK8">
        <f t="shared" si="42"/>
        <v>19.972770000000001</v>
      </c>
      <c r="CL8">
        <f t="shared" si="42"/>
        <v>21.161549999999998</v>
      </c>
      <c r="CM8">
        <f t="shared" si="42"/>
        <v>22.839780000000001</v>
      </c>
      <c r="CN8">
        <f t="shared" si="42"/>
        <v>24.28931</v>
      </c>
      <c r="CO8">
        <f t="shared" si="42"/>
        <v>24.495609999999999</v>
      </c>
      <c r="CP8">
        <f t="shared" si="42"/>
        <v>23.87311</v>
      </c>
      <c r="CQ8">
        <f t="shared" si="42"/>
        <v>23.541129999999999</v>
      </c>
      <c r="CR8">
        <f t="shared" si="42"/>
        <v>23.802759999999999</v>
      </c>
      <c r="CS8">
        <f t="shared" si="42"/>
        <v>24.566690000000001</v>
      </c>
      <c r="CT8">
        <f t="shared" si="42"/>
        <v>26.034640000000003</v>
      </c>
      <c r="CU8">
        <f t="shared" si="42"/>
        <v>28.08737</v>
      </c>
      <c r="CV8">
        <f t="shared" si="42"/>
        <v>29.160489999999999</v>
      </c>
    </row>
    <row r="9" spans="1:100" s="1" customFormat="1" x14ac:dyDescent="0.3">
      <c r="B9" s="1">
        <f>B2*10/10</f>
        <v>-40</v>
      </c>
      <c r="C9" s="1">
        <f t="shared" ref="C9:BN9" si="43">C2*10/10</f>
        <v>-40</v>
      </c>
      <c r="D9" s="1">
        <f t="shared" si="43"/>
        <v>-40</v>
      </c>
      <c r="E9" s="1">
        <f t="shared" si="43"/>
        <v>-40</v>
      </c>
      <c r="F9" s="1">
        <f t="shared" si="43"/>
        <v>-39.200000000000003</v>
      </c>
      <c r="G9" s="1">
        <f t="shared" si="43"/>
        <v>-38.4</v>
      </c>
      <c r="H9" s="1">
        <f t="shared" si="43"/>
        <v>-37.6</v>
      </c>
      <c r="I9" s="1">
        <f t="shared" si="43"/>
        <v>-36.799999999999997</v>
      </c>
      <c r="J9" s="1">
        <f t="shared" si="43"/>
        <v>-36</v>
      </c>
      <c r="K9" s="1">
        <f t="shared" si="43"/>
        <v>-35.200000000000003</v>
      </c>
      <c r="L9" s="1">
        <f t="shared" si="43"/>
        <v>-34.400010000000002</v>
      </c>
      <c r="M9" s="1">
        <f t="shared" si="43"/>
        <v>-33.600009999999997</v>
      </c>
      <c r="N9" s="1">
        <f t="shared" si="43"/>
        <v>-32.80001</v>
      </c>
      <c r="O9" s="1">
        <f t="shared" si="43"/>
        <v>-32.000010000000003</v>
      </c>
      <c r="P9" s="1">
        <f t="shared" si="43"/>
        <v>-31.200009999999999</v>
      </c>
      <c r="Q9" s="1">
        <f t="shared" si="43"/>
        <v>-30.400010000000002</v>
      </c>
      <c r="R9" s="1">
        <f t="shared" si="43"/>
        <v>-29.600010000000005</v>
      </c>
      <c r="S9" s="1">
        <f t="shared" si="43"/>
        <v>-28.800009999999997</v>
      </c>
      <c r="T9" s="1">
        <f t="shared" si="43"/>
        <v>-28.000009999999996</v>
      </c>
      <c r="U9" s="1">
        <f t="shared" si="43"/>
        <v>-27.200009999999999</v>
      </c>
      <c r="V9" s="1">
        <f t="shared" si="43"/>
        <v>-26.400010000000002</v>
      </c>
      <c r="W9" s="1">
        <f t="shared" si="43"/>
        <v>-25.600010000000005</v>
      </c>
      <c r="X9" s="1">
        <f t="shared" si="43"/>
        <v>-24.80001</v>
      </c>
      <c r="Y9" s="1">
        <f t="shared" si="43"/>
        <v>-24.000019999999999</v>
      </c>
      <c r="Z9" s="1">
        <f t="shared" si="43"/>
        <v>-23.200019999999999</v>
      </c>
      <c r="AA9" s="1">
        <f t="shared" si="43"/>
        <v>-22.400020000000001</v>
      </c>
      <c r="AB9" s="1">
        <f t="shared" si="43"/>
        <v>-21.600020000000001</v>
      </c>
      <c r="AC9" s="1">
        <f t="shared" si="43"/>
        <v>-20.80002</v>
      </c>
      <c r="AD9" s="1">
        <f t="shared" si="43"/>
        <v>-20.000019999999999</v>
      </c>
      <c r="AE9" s="1">
        <f t="shared" si="43"/>
        <v>-19.200019999999999</v>
      </c>
      <c r="AF9" s="1">
        <f t="shared" si="43"/>
        <v>-18.400020000000001</v>
      </c>
      <c r="AG9" s="1">
        <f t="shared" si="43"/>
        <v>-17.600020000000001</v>
      </c>
      <c r="AH9" s="1">
        <f t="shared" si="43"/>
        <v>-16.80002</v>
      </c>
      <c r="AI9" s="1">
        <f t="shared" si="43"/>
        <v>-16.000019999999999</v>
      </c>
      <c r="AJ9" s="1">
        <f t="shared" si="43"/>
        <v>-15.20002</v>
      </c>
      <c r="AK9" s="1">
        <f t="shared" si="43"/>
        <v>-14.400020000000001</v>
      </c>
      <c r="AL9" s="1">
        <f t="shared" si="43"/>
        <v>-13.600020000000001</v>
      </c>
      <c r="AM9" s="1">
        <f t="shared" si="43"/>
        <v>-12.80002</v>
      </c>
      <c r="AN9" s="1">
        <f t="shared" si="43"/>
        <v>-12.000019999999999</v>
      </c>
      <c r="AO9" s="1">
        <f t="shared" si="43"/>
        <v>-11.20002</v>
      </c>
      <c r="AP9" s="1">
        <f t="shared" si="43"/>
        <v>-10.40002</v>
      </c>
      <c r="AQ9" s="1">
        <f t="shared" si="43"/>
        <v>-9.6000209999999999</v>
      </c>
      <c r="AR9" s="1">
        <f t="shared" si="43"/>
        <v>-8.8000209999999992</v>
      </c>
      <c r="AS9" s="1">
        <f t="shared" si="43"/>
        <v>-8.0000210000000003</v>
      </c>
      <c r="AT9" s="1">
        <f t="shared" si="43"/>
        <v>-7.2000209999999996</v>
      </c>
      <c r="AU9" s="1">
        <f t="shared" si="43"/>
        <v>-6.4000209999999997</v>
      </c>
      <c r="AV9" s="1">
        <f t="shared" si="43"/>
        <v>-5.6000199999999998</v>
      </c>
      <c r="AW9" s="1">
        <f t="shared" si="43"/>
        <v>-4.80002</v>
      </c>
      <c r="AX9" s="1">
        <f t="shared" si="43"/>
        <v>-4.0000200000000001</v>
      </c>
      <c r="AY9" s="1">
        <f t="shared" si="43"/>
        <v>-3.2000199999999999</v>
      </c>
      <c r="AZ9" s="1">
        <f t="shared" si="43"/>
        <v>-2.40002</v>
      </c>
      <c r="BA9" s="1">
        <f t="shared" si="43"/>
        <v>-1.60002</v>
      </c>
      <c r="BB9" s="1">
        <f t="shared" si="43"/>
        <v>-0.80002019999999996</v>
      </c>
      <c r="BC9" s="1">
        <f t="shared" si="43"/>
        <v>-2.0146369999999999E-5</v>
      </c>
      <c r="BD9" s="1">
        <f t="shared" si="43"/>
        <v>0.79997989999999997</v>
      </c>
      <c r="BE9" s="1">
        <f t="shared" si="43"/>
        <v>1.59998</v>
      </c>
      <c r="BF9" s="1">
        <f t="shared" si="43"/>
        <v>2.3999799999999998</v>
      </c>
      <c r="BG9" s="1">
        <f t="shared" si="43"/>
        <v>3.19998</v>
      </c>
      <c r="BH9" s="1">
        <f t="shared" si="43"/>
        <v>3.9999799999999999</v>
      </c>
      <c r="BI9" s="1">
        <f t="shared" si="43"/>
        <v>4.7999799999999997</v>
      </c>
      <c r="BJ9" s="1">
        <f t="shared" si="43"/>
        <v>5.5999800000000004</v>
      </c>
      <c r="BK9" s="1">
        <f t="shared" si="43"/>
        <v>6.3999800000000002</v>
      </c>
      <c r="BL9" s="1">
        <f t="shared" si="43"/>
        <v>7.1999799999999992</v>
      </c>
      <c r="BM9" s="1">
        <f t="shared" si="43"/>
        <v>7.999979999999999</v>
      </c>
      <c r="BN9" s="1">
        <f t="shared" si="43"/>
        <v>8.7999799999999997</v>
      </c>
      <c r="BO9" s="1">
        <f t="shared" ref="BO9:CV9" si="44">BO2*10/10</f>
        <v>9.5999800000000004</v>
      </c>
      <c r="BP9" s="1">
        <f t="shared" si="44"/>
        <v>10.399979999999999</v>
      </c>
      <c r="BQ9" s="1">
        <f t="shared" si="44"/>
        <v>11.19998</v>
      </c>
      <c r="BR9" s="1">
        <f t="shared" si="44"/>
        <v>11.999980000000001</v>
      </c>
      <c r="BS9" s="1">
        <f t="shared" si="44"/>
        <v>12.79998</v>
      </c>
      <c r="BT9" s="1">
        <f t="shared" si="44"/>
        <v>13.599979999999999</v>
      </c>
      <c r="BU9" s="1">
        <f t="shared" si="44"/>
        <v>14.399979999999999</v>
      </c>
      <c r="BV9" s="1">
        <f t="shared" si="44"/>
        <v>15.19998</v>
      </c>
      <c r="BW9" s="1">
        <f t="shared" si="44"/>
        <v>15.999979999999999</v>
      </c>
      <c r="BX9" s="1">
        <f t="shared" si="44"/>
        <v>16.799980000000001</v>
      </c>
      <c r="BY9" s="1">
        <f t="shared" si="44"/>
        <v>17.599979999999999</v>
      </c>
      <c r="BZ9" s="1">
        <f t="shared" si="44"/>
        <v>18.399979999999999</v>
      </c>
      <c r="CA9" s="1">
        <f t="shared" si="44"/>
        <v>19.19998</v>
      </c>
      <c r="CB9" s="1">
        <f t="shared" si="44"/>
        <v>19.999980000000001</v>
      </c>
      <c r="CC9" s="1">
        <f t="shared" si="44"/>
        <v>20.799980000000001</v>
      </c>
      <c r="CD9" s="1">
        <f t="shared" si="44"/>
        <v>21.599979999999999</v>
      </c>
      <c r="CE9" s="1">
        <f t="shared" si="44"/>
        <v>22.399979999999999</v>
      </c>
      <c r="CF9" s="1">
        <f t="shared" si="44"/>
        <v>23.19998</v>
      </c>
      <c r="CG9" s="1">
        <f t="shared" si="44"/>
        <v>23.999980000000001</v>
      </c>
      <c r="CH9" s="1">
        <f t="shared" si="44"/>
        <v>24.799969999999998</v>
      </c>
      <c r="CI9" s="1">
        <f t="shared" si="44"/>
        <v>25.599969999999999</v>
      </c>
      <c r="CJ9" s="1">
        <f t="shared" si="44"/>
        <v>26.399970000000003</v>
      </c>
      <c r="CK9" s="1">
        <f t="shared" si="44"/>
        <v>27.19997</v>
      </c>
      <c r="CL9" s="1">
        <f t="shared" si="44"/>
        <v>27.999970000000001</v>
      </c>
      <c r="CM9" s="1">
        <f t="shared" si="44"/>
        <v>28.799969999999995</v>
      </c>
      <c r="CN9" s="1">
        <f t="shared" si="44"/>
        <v>29.599969999999995</v>
      </c>
      <c r="CO9" s="1">
        <f t="shared" si="44"/>
        <v>30.399970000000003</v>
      </c>
      <c r="CP9" s="1">
        <f t="shared" si="44"/>
        <v>31.19997</v>
      </c>
      <c r="CQ9" s="1">
        <f t="shared" si="44"/>
        <v>31.999970000000001</v>
      </c>
      <c r="CR9" s="1">
        <f t="shared" si="44"/>
        <v>32.799970000000002</v>
      </c>
      <c r="CS9" s="1">
        <f t="shared" si="44"/>
        <v>33.599969999999999</v>
      </c>
      <c r="CT9" s="1">
        <f t="shared" si="44"/>
        <v>34.399970000000003</v>
      </c>
      <c r="CU9" s="1">
        <f t="shared" si="44"/>
        <v>35.19997</v>
      </c>
      <c r="CV9" s="1">
        <f t="shared" si="44"/>
        <v>35.999969999999998</v>
      </c>
    </row>
    <row r="11" spans="1:100" x14ac:dyDescent="0.3">
      <c r="A11">
        <f t="shared" ref="A11:BL11" si="45">A3*10/10</f>
        <v>202.0522</v>
      </c>
      <c r="B11">
        <f t="shared" si="45"/>
        <v>202.0522</v>
      </c>
      <c r="C11">
        <f t="shared" si="45"/>
        <v>202.0522</v>
      </c>
      <c r="D11">
        <f t="shared" si="45"/>
        <v>202.0522</v>
      </c>
      <c r="E11">
        <f t="shared" si="45"/>
        <v>202.0522</v>
      </c>
      <c r="F11">
        <f t="shared" si="45"/>
        <v>202.0522</v>
      </c>
      <c r="G11">
        <f t="shared" si="45"/>
        <v>202.85400000000001</v>
      </c>
      <c r="H11">
        <f t="shared" si="45"/>
        <v>203.64959999999999</v>
      </c>
      <c r="I11">
        <f t="shared" si="45"/>
        <v>204.43889999999999</v>
      </c>
      <c r="J11">
        <f t="shared" si="45"/>
        <v>205.2217</v>
      </c>
      <c r="K11">
        <f t="shared" si="45"/>
        <v>205.9982</v>
      </c>
      <c r="L11">
        <f t="shared" si="45"/>
        <v>206.76799999999997</v>
      </c>
      <c r="M11">
        <f t="shared" si="45"/>
        <v>207.53130000000002</v>
      </c>
      <c r="N11">
        <f t="shared" si="45"/>
        <v>208.2878</v>
      </c>
      <c r="O11">
        <f t="shared" si="45"/>
        <v>209.03760000000003</v>
      </c>
      <c r="P11">
        <f t="shared" si="45"/>
        <v>209.78059999999999</v>
      </c>
      <c r="Q11">
        <f t="shared" si="45"/>
        <v>210.51660000000001</v>
      </c>
      <c r="R11">
        <f t="shared" si="45"/>
        <v>211.24560000000002</v>
      </c>
      <c r="S11">
        <f t="shared" si="45"/>
        <v>211.9676</v>
      </c>
      <c r="T11">
        <f t="shared" si="45"/>
        <v>212.68249999999998</v>
      </c>
      <c r="U11">
        <f t="shared" si="45"/>
        <v>213.39009999999999</v>
      </c>
      <c r="V11">
        <f t="shared" si="45"/>
        <v>214.09049999999996</v>
      </c>
      <c r="W11">
        <f t="shared" si="45"/>
        <v>214.78360000000004</v>
      </c>
      <c r="X11">
        <f t="shared" si="45"/>
        <v>215.46930000000003</v>
      </c>
      <c r="Y11">
        <f t="shared" si="45"/>
        <v>216.14760000000001</v>
      </c>
      <c r="Z11">
        <f t="shared" si="45"/>
        <v>216.81829999999999</v>
      </c>
      <c r="AA11">
        <f t="shared" si="45"/>
        <v>217.48150000000001</v>
      </c>
      <c r="AB11">
        <f t="shared" si="45"/>
        <v>218.137</v>
      </c>
      <c r="AC11">
        <f t="shared" si="45"/>
        <v>218.78490000000002</v>
      </c>
      <c r="AD11">
        <f t="shared" si="45"/>
        <v>219.42500000000001</v>
      </c>
      <c r="AE11">
        <f t="shared" si="45"/>
        <v>220.0573</v>
      </c>
      <c r="AF11">
        <f t="shared" si="45"/>
        <v>220.68180000000001</v>
      </c>
      <c r="AG11">
        <f t="shared" si="45"/>
        <v>221.29830000000001</v>
      </c>
      <c r="AH11">
        <f t="shared" si="45"/>
        <v>221.90680000000003</v>
      </c>
      <c r="AI11">
        <f t="shared" si="45"/>
        <v>222.50740000000002</v>
      </c>
      <c r="AJ11">
        <f t="shared" si="45"/>
        <v>223.09989999999999</v>
      </c>
      <c r="AK11">
        <f t="shared" si="45"/>
        <v>223.6842</v>
      </c>
      <c r="AL11">
        <f t="shared" si="45"/>
        <v>224.26040000000003</v>
      </c>
      <c r="AM11">
        <f t="shared" si="45"/>
        <v>224.82830000000004</v>
      </c>
      <c r="AN11">
        <f t="shared" si="45"/>
        <v>225.38800000000001</v>
      </c>
      <c r="AO11">
        <f t="shared" si="45"/>
        <v>225.93940000000003</v>
      </c>
      <c r="AP11">
        <f t="shared" si="45"/>
        <v>226.48240000000001</v>
      </c>
      <c r="AQ11">
        <f t="shared" si="45"/>
        <v>227.017</v>
      </c>
      <c r="AR11">
        <f t="shared" si="45"/>
        <v>227.54310000000001</v>
      </c>
      <c r="AS11">
        <f t="shared" si="45"/>
        <v>228.06080000000003</v>
      </c>
      <c r="AT11">
        <f t="shared" si="45"/>
        <v>228.56990000000002</v>
      </c>
      <c r="AU11">
        <f t="shared" si="45"/>
        <v>229.07040000000001</v>
      </c>
      <c r="AV11">
        <f t="shared" si="45"/>
        <v>229.56229999999999</v>
      </c>
      <c r="AW11">
        <f t="shared" si="45"/>
        <v>230.0455</v>
      </c>
      <c r="AX11">
        <f t="shared" si="45"/>
        <v>230.52000000000004</v>
      </c>
      <c r="AY11">
        <f t="shared" si="45"/>
        <v>230.98580000000001</v>
      </c>
      <c r="AZ11">
        <f t="shared" si="45"/>
        <v>231.44279999999998</v>
      </c>
      <c r="BA11">
        <f t="shared" si="45"/>
        <v>231.89099999999999</v>
      </c>
      <c r="BB11">
        <f t="shared" si="45"/>
        <v>232.3304</v>
      </c>
      <c r="BC11">
        <f t="shared" si="45"/>
        <v>232.76079999999996</v>
      </c>
      <c r="BD11">
        <f t="shared" si="45"/>
        <v>233.1823</v>
      </c>
      <c r="BE11">
        <f t="shared" si="45"/>
        <v>233.5949</v>
      </c>
      <c r="BF11">
        <f t="shared" si="45"/>
        <v>233.99850000000001</v>
      </c>
      <c r="BG11">
        <f t="shared" si="45"/>
        <v>234.39299999999997</v>
      </c>
      <c r="BH11">
        <f t="shared" si="45"/>
        <v>234.77849999999998</v>
      </c>
      <c r="BI11">
        <f t="shared" si="45"/>
        <v>235.15500000000003</v>
      </c>
      <c r="BJ11">
        <f t="shared" si="45"/>
        <v>235.5223</v>
      </c>
      <c r="BK11">
        <f t="shared" si="45"/>
        <v>235.88050000000004</v>
      </c>
      <c r="BL11">
        <f t="shared" si="45"/>
        <v>236.2295</v>
      </c>
      <c r="BM11">
        <f t="shared" ref="BM11:CE11" si="46">BM3*10/10</f>
        <v>236.56930000000003</v>
      </c>
      <c r="BN11">
        <f t="shared" si="46"/>
        <v>236.89989999999997</v>
      </c>
      <c r="BO11">
        <f t="shared" si="46"/>
        <v>237.22120000000001</v>
      </c>
      <c r="BP11">
        <f t="shared" si="46"/>
        <v>237.53319999999999</v>
      </c>
      <c r="BQ11">
        <f t="shared" si="46"/>
        <v>237.83600000000001</v>
      </c>
      <c r="BR11">
        <f t="shared" si="46"/>
        <v>238.12950000000001</v>
      </c>
      <c r="BS11">
        <f t="shared" si="46"/>
        <v>238.4136</v>
      </c>
      <c r="BT11">
        <f t="shared" si="46"/>
        <v>238.68829999999997</v>
      </c>
      <c r="BU11">
        <f t="shared" si="46"/>
        <v>238.95359999999999</v>
      </c>
      <c r="BV11">
        <f t="shared" si="46"/>
        <v>239.20959999999999</v>
      </c>
      <c r="BW11">
        <f t="shared" si="46"/>
        <v>239.45609999999996</v>
      </c>
      <c r="BX11">
        <f t="shared" si="46"/>
        <v>239.69310000000002</v>
      </c>
      <c r="BY11">
        <f t="shared" si="46"/>
        <v>239.92070000000004</v>
      </c>
      <c r="BZ11">
        <f t="shared" si="46"/>
        <v>240.13890000000001</v>
      </c>
      <c r="CA11">
        <f t="shared" si="46"/>
        <v>240.3475</v>
      </c>
      <c r="CB11">
        <f t="shared" si="46"/>
        <v>240.54660000000004</v>
      </c>
      <c r="CC11">
        <f t="shared" si="46"/>
        <v>240.7362</v>
      </c>
      <c r="CD11">
        <f t="shared" si="46"/>
        <v>240.91620000000003</v>
      </c>
      <c r="CE11">
        <f t="shared" si="46"/>
        <v>241.08670000000001</v>
      </c>
      <c r="CF11">
        <f>CF3*10/10</f>
        <v>241.24760000000001</v>
      </c>
      <c r="CG11">
        <f t="shared" ref="CG11:CV11" si="47">CG3*10/10</f>
        <v>241.3989</v>
      </c>
      <c r="CH11">
        <f t="shared" si="47"/>
        <v>241.54059999999998</v>
      </c>
      <c r="CI11">
        <f t="shared" si="47"/>
        <v>241.67269999999999</v>
      </c>
      <c r="CJ11">
        <f t="shared" si="47"/>
        <v>241.79519999999997</v>
      </c>
      <c r="CK11">
        <f t="shared" si="47"/>
        <v>241.90810000000002</v>
      </c>
      <c r="CL11">
        <f t="shared" si="47"/>
        <v>242.01140000000001</v>
      </c>
      <c r="CM11">
        <f t="shared" si="47"/>
        <v>242.10499999999996</v>
      </c>
      <c r="CN11">
        <f t="shared" si="47"/>
        <v>242.18890000000002</v>
      </c>
      <c r="CO11">
        <f t="shared" si="47"/>
        <v>242.26329999999999</v>
      </c>
      <c r="CP11">
        <f t="shared" si="47"/>
        <v>242.3279</v>
      </c>
      <c r="CQ11">
        <f t="shared" si="47"/>
        <v>242.38290000000001</v>
      </c>
      <c r="CR11">
        <f t="shared" si="47"/>
        <v>242.4282</v>
      </c>
      <c r="CS11">
        <f t="shared" si="47"/>
        <v>242.46390000000002</v>
      </c>
      <c r="CT11">
        <f t="shared" si="47"/>
        <v>242.4898</v>
      </c>
      <c r="CU11">
        <f t="shared" si="47"/>
        <v>242.5061</v>
      </c>
      <c r="CV11">
        <f t="shared" si="47"/>
        <v>242.5127</v>
      </c>
    </row>
    <row r="12" spans="1:100" x14ac:dyDescent="0.3">
      <c r="A12">
        <f t="shared" ref="A12:BL12" si="48">A4*10/10</f>
        <v>369.73149999999998</v>
      </c>
      <c r="B12">
        <f t="shared" si="48"/>
        <v>369.73149999999998</v>
      </c>
      <c r="C12">
        <f t="shared" si="48"/>
        <v>369.73149999999998</v>
      </c>
      <c r="D12">
        <f t="shared" si="48"/>
        <v>369.73149999999998</v>
      </c>
      <c r="E12">
        <f t="shared" si="48"/>
        <v>369.73149999999998</v>
      </c>
      <c r="F12">
        <f t="shared" si="48"/>
        <v>369.73149999999998</v>
      </c>
      <c r="G12">
        <f t="shared" si="48"/>
        <v>367.41789999999997</v>
      </c>
      <c r="H12">
        <f t="shared" si="48"/>
        <v>365.08850000000001</v>
      </c>
      <c r="I12">
        <f t="shared" si="48"/>
        <v>362.74340000000001</v>
      </c>
      <c r="J12">
        <f t="shared" si="48"/>
        <v>360.38290000000001</v>
      </c>
      <c r="K12">
        <f t="shared" si="48"/>
        <v>358.00709999999998</v>
      </c>
      <c r="L12">
        <f t="shared" si="48"/>
        <v>355.61610000000002</v>
      </c>
      <c r="M12">
        <f t="shared" si="48"/>
        <v>353.21010000000001</v>
      </c>
      <c r="N12">
        <f t="shared" si="48"/>
        <v>350.78930000000003</v>
      </c>
      <c r="O12">
        <f t="shared" si="48"/>
        <v>348.35390000000001</v>
      </c>
      <c r="P12">
        <f t="shared" si="48"/>
        <v>345.90390000000002</v>
      </c>
      <c r="Q12">
        <f t="shared" si="48"/>
        <v>343.43959999999998</v>
      </c>
      <c r="R12">
        <f t="shared" si="48"/>
        <v>340.96120000000002</v>
      </c>
      <c r="S12">
        <f t="shared" si="48"/>
        <v>338.46879999999999</v>
      </c>
      <c r="T12">
        <f t="shared" si="48"/>
        <v>335.96260000000001</v>
      </c>
      <c r="U12">
        <f t="shared" si="48"/>
        <v>333.44279999999998</v>
      </c>
      <c r="V12">
        <f t="shared" si="48"/>
        <v>330.90960000000001</v>
      </c>
      <c r="W12">
        <f t="shared" si="48"/>
        <v>328.36320000000001</v>
      </c>
      <c r="X12">
        <f t="shared" si="48"/>
        <v>325.80369999999999</v>
      </c>
      <c r="Y12">
        <f t="shared" si="48"/>
        <v>323.23140000000001</v>
      </c>
      <c r="Z12">
        <f t="shared" si="48"/>
        <v>320.6465</v>
      </c>
      <c r="AA12">
        <f t="shared" si="48"/>
        <v>318.04910000000001</v>
      </c>
      <c r="AB12">
        <f t="shared" si="48"/>
        <v>315.43950000000001</v>
      </c>
      <c r="AC12">
        <f t="shared" si="48"/>
        <v>312.81779999999998</v>
      </c>
      <c r="AD12">
        <f t="shared" si="48"/>
        <v>310.18439999999998</v>
      </c>
      <c r="AE12">
        <f t="shared" si="48"/>
        <v>307.53930000000003</v>
      </c>
      <c r="AF12">
        <f t="shared" si="48"/>
        <v>304.88290000000001</v>
      </c>
      <c r="AG12">
        <f t="shared" si="48"/>
        <v>302.21530000000001</v>
      </c>
      <c r="AH12">
        <f t="shared" si="48"/>
        <v>299.53680000000003</v>
      </c>
      <c r="AI12">
        <f t="shared" si="48"/>
        <v>296.8476</v>
      </c>
      <c r="AJ12">
        <f t="shared" si="48"/>
        <v>294.14800000000002</v>
      </c>
      <c r="AK12">
        <f t="shared" si="48"/>
        <v>291.43810000000002</v>
      </c>
      <c r="AL12">
        <f t="shared" si="48"/>
        <v>288.71839999999997</v>
      </c>
      <c r="AM12">
        <f t="shared" si="48"/>
        <v>285.98880000000003</v>
      </c>
      <c r="AN12">
        <f t="shared" si="48"/>
        <v>283.24990000000003</v>
      </c>
      <c r="AO12">
        <f t="shared" si="48"/>
        <v>280.50170000000003</v>
      </c>
      <c r="AP12">
        <f t="shared" si="48"/>
        <v>277.74470000000002</v>
      </c>
      <c r="AQ12">
        <f t="shared" si="48"/>
        <v>274.97899999999998</v>
      </c>
      <c r="AR12">
        <f t="shared" si="48"/>
        <v>272.20499999999998</v>
      </c>
      <c r="AS12">
        <f t="shared" si="48"/>
        <v>269.42290000000003</v>
      </c>
      <c r="AT12">
        <f t="shared" si="48"/>
        <v>266.63310000000001</v>
      </c>
      <c r="AU12">
        <f t="shared" si="48"/>
        <v>263.83580000000001</v>
      </c>
      <c r="AV12">
        <f t="shared" si="48"/>
        <v>261.03140000000002</v>
      </c>
      <c r="AW12">
        <f t="shared" si="48"/>
        <v>258.22019999999998</v>
      </c>
      <c r="AX12">
        <f t="shared" si="48"/>
        <v>255.4025</v>
      </c>
      <c r="AY12">
        <f t="shared" si="48"/>
        <v>252.57859999999999</v>
      </c>
      <c r="AZ12">
        <f t="shared" si="48"/>
        <v>249.74899999999997</v>
      </c>
      <c r="BA12">
        <f t="shared" si="48"/>
        <v>246.91399999999999</v>
      </c>
      <c r="BB12">
        <f t="shared" si="48"/>
        <v>244.07380000000003</v>
      </c>
      <c r="BC12">
        <f t="shared" si="48"/>
        <v>241.22909999999996</v>
      </c>
      <c r="BD12">
        <f t="shared" si="48"/>
        <v>238.38000000000002</v>
      </c>
      <c r="BE12">
        <f t="shared" si="48"/>
        <v>235.52709999999996</v>
      </c>
      <c r="BF12">
        <f t="shared" si="48"/>
        <v>232.67080000000001</v>
      </c>
      <c r="BG12">
        <f t="shared" si="48"/>
        <v>229.81139999999999</v>
      </c>
      <c r="BH12">
        <f t="shared" si="48"/>
        <v>226.9496</v>
      </c>
      <c r="BI12">
        <f t="shared" si="48"/>
        <v>224.08559999999997</v>
      </c>
      <c r="BJ12">
        <f t="shared" si="48"/>
        <v>221.2201</v>
      </c>
      <c r="BK12">
        <f t="shared" si="48"/>
        <v>218.3536</v>
      </c>
      <c r="BL12">
        <f t="shared" si="48"/>
        <v>215.4864</v>
      </c>
      <c r="BM12">
        <f t="shared" ref="BM12:CV12" si="49">BM4*10/10</f>
        <v>212.61930000000001</v>
      </c>
      <c r="BN12">
        <f t="shared" si="49"/>
        <v>209.7527</v>
      </c>
      <c r="BO12">
        <f t="shared" si="49"/>
        <v>206.88730000000001</v>
      </c>
      <c r="BP12">
        <f t="shared" si="49"/>
        <v>204.02369999999999</v>
      </c>
      <c r="BQ12">
        <f t="shared" si="49"/>
        <v>201.1626</v>
      </c>
      <c r="BR12">
        <f t="shared" si="49"/>
        <v>198.30449999999999</v>
      </c>
      <c r="BS12">
        <f t="shared" si="49"/>
        <v>195.4503</v>
      </c>
      <c r="BT12">
        <f t="shared" si="49"/>
        <v>192.60059999999999</v>
      </c>
      <c r="BU12">
        <f t="shared" si="49"/>
        <v>189.75620000000001</v>
      </c>
      <c r="BV12">
        <f t="shared" si="49"/>
        <v>186.91800000000001</v>
      </c>
      <c r="BW12">
        <f t="shared" si="49"/>
        <v>184.08680000000001</v>
      </c>
      <c r="BX12">
        <f t="shared" si="49"/>
        <v>181.26339999999999</v>
      </c>
      <c r="BY12">
        <f t="shared" si="49"/>
        <v>178.44890000000001</v>
      </c>
      <c r="BZ12">
        <f t="shared" si="49"/>
        <v>175.64410000000001</v>
      </c>
      <c r="CA12">
        <f t="shared" si="49"/>
        <v>172.8503</v>
      </c>
      <c r="CB12">
        <f t="shared" si="49"/>
        <v>170.06829999999999</v>
      </c>
      <c r="CC12">
        <f t="shared" si="49"/>
        <v>167.29939999999999</v>
      </c>
      <c r="CD12">
        <f t="shared" si="49"/>
        <v>164.54480000000001</v>
      </c>
      <c r="CE12">
        <f t="shared" si="49"/>
        <v>161.8058</v>
      </c>
      <c r="CF12">
        <f t="shared" si="49"/>
        <v>159.0838</v>
      </c>
      <c r="CG12">
        <f t="shared" si="49"/>
        <v>156.3801</v>
      </c>
      <c r="CH12">
        <f t="shared" si="49"/>
        <v>153.6962</v>
      </c>
      <c r="CI12">
        <f t="shared" si="49"/>
        <v>151.03380000000001</v>
      </c>
      <c r="CJ12">
        <f t="shared" si="49"/>
        <v>148.3946</v>
      </c>
      <c r="CK12">
        <f t="shared" si="49"/>
        <v>145.78030000000001</v>
      </c>
      <c r="CL12">
        <f t="shared" si="49"/>
        <v>143.19290000000001</v>
      </c>
      <c r="CM12">
        <f t="shared" si="49"/>
        <v>140.63419999999999</v>
      </c>
      <c r="CN12">
        <f t="shared" si="49"/>
        <v>138.10659999999999</v>
      </c>
      <c r="CO12">
        <f t="shared" si="49"/>
        <v>135.6121</v>
      </c>
      <c r="CP12">
        <f t="shared" si="49"/>
        <v>133.15309999999999</v>
      </c>
      <c r="CQ12">
        <f t="shared" si="49"/>
        <v>130.73220000000001</v>
      </c>
      <c r="CR12">
        <f t="shared" si="49"/>
        <v>128.352</v>
      </c>
      <c r="CS12">
        <f t="shared" si="49"/>
        <v>126.01520000000001</v>
      </c>
      <c r="CT12">
        <f t="shared" si="49"/>
        <v>123.7248</v>
      </c>
      <c r="CU12">
        <f t="shared" si="49"/>
        <v>121.48389999999999</v>
      </c>
      <c r="CV12">
        <f t="shared" si="49"/>
        <v>119.29569999999998</v>
      </c>
    </row>
    <row r="13" spans="1:100" x14ac:dyDescent="0.3">
      <c r="A13">
        <f t="shared" ref="A13:BL13" si="50">A5*10/10</f>
        <v>369.73149999999998</v>
      </c>
      <c r="B13">
        <f t="shared" si="50"/>
        <v>369.73149999999998</v>
      </c>
      <c r="C13">
        <f t="shared" si="50"/>
        <v>369.73149999999998</v>
      </c>
      <c r="D13">
        <f t="shared" si="50"/>
        <v>369.73149999999998</v>
      </c>
      <c r="E13">
        <f t="shared" si="50"/>
        <v>369.73149999999998</v>
      </c>
      <c r="F13">
        <f t="shared" si="50"/>
        <v>369.73149999999998</v>
      </c>
      <c r="G13">
        <f t="shared" si="50"/>
        <v>367.41789999999997</v>
      </c>
      <c r="H13">
        <f t="shared" si="50"/>
        <v>365.08850000000001</v>
      </c>
      <c r="I13">
        <f t="shared" si="50"/>
        <v>362.74340000000001</v>
      </c>
      <c r="J13">
        <f t="shared" si="50"/>
        <v>360.38290000000001</v>
      </c>
      <c r="K13">
        <f t="shared" si="50"/>
        <v>358.00709999999998</v>
      </c>
      <c r="L13">
        <f t="shared" si="50"/>
        <v>355.61610000000002</v>
      </c>
      <c r="M13">
        <f t="shared" si="50"/>
        <v>353.21010000000001</v>
      </c>
      <c r="N13">
        <f t="shared" si="50"/>
        <v>350.78930000000003</v>
      </c>
      <c r="O13">
        <f t="shared" si="50"/>
        <v>348.35390000000001</v>
      </c>
      <c r="P13">
        <f t="shared" si="50"/>
        <v>345.90390000000002</v>
      </c>
      <c r="Q13">
        <f t="shared" si="50"/>
        <v>343.43959999999998</v>
      </c>
      <c r="R13">
        <f t="shared" si="50"/>
        <v>340.96120000000002</v>
      </c>
      <c r="S13">
        <f t="shared" si="50"/>
        <v>338.46879999999999</v>
      </c>
      <c r="T13">
        <f t="shared" si="50"/>
        <v>335.96260000000001</v>
      </c>
      <c r="U13">
        <f t="shared" si="50"/>
        <v>333.44279999999998</v>
      </c>
      <c r="V13">
        <f t="shared" si="50"/>
        <v>330.90960000000001</v>
      </c>
      <c r="W13">
        <f t="shared" si="50"/>
        <v>328.36320000000001</v>
      </c>
      <c r="X13">
        <f t="shared" si="50"/>
        <v>325.80369999999999</v>
      </c>
      <c r="Y13">
        <f t="shared" si="50"/>
        <v>323.23140000000001</v>
      </c>
      <c r="Z13">
        <f t="shared" si="50"/>
        <v>320.6465</v>
      </c>
      <c r="AA13">
        <f t="shared" si="50"/>
        <v>318.04910000000001</v>
      </c>
      <c r="AB13">
        <f t="shared" si="50"/>
        <v>315.43950000000001</v>
      </c>
      <c r="AC13">
        <f t="shared" si="50"/>
        <v>312.81779999999998</v>
      </c>
      <c r="AD13">
        <f t="shared" si="50"/>
        <v>310.18439999999998</v>
      </c>
      <c r="AE13">
        <f t="shared" si="50"/>
        <v>307.53930000000003</v>
      </c>
      <c r="AF13">
        <f t="shared" si="50"/>
        <v>304.88290000000001</v>
      </c>
      <c r="AG13">
        <f t="shared" si="50"/>
        <v>302.21530000000001</v>
      </c>
      <c r="AH13">
        <f t="shared" si="50"/>
        <v>299.53680000000003</v>
      </c>
      <c r="AI13">
        <f t="shared" si="50"/>
        <v>296.8476</v>
      </c>
      <c r="AJ13">
        <f t="shared" si="50"/>
        <v>294.14800000000002</v>
      </c>
      <c r="AK13">
        <f t="shared" si="50"/>
        <v>291.43810000000002</v>
      </c>
      <c r="AL13">
        <f t="shared" si="50"/>
        <v>288.71839999999997</v>
      </c>
      <c r="AM13">
        <f t="shared" si="50"/>
        <v>285.98880000000003</v>
      </c>
      <c r="AN13">
        <f t="shared" si="50"/>
        <v>283.24990000000003</v>
      </c>
      <c r="AO13">
        <f t="shared" si="50"/>
        <v>280.50170000000003</v>
      </c>
      <c r="AP13">
        <f t="shared" si="50"/>
        <v>277.74470000000002</v>
      </c>
      <c r="AQ13">
        <f t="shared" si="50"/>
        <v>274.97899999999998</v>
      </c>
      <c r="AR13">
        <f t="shared" si="50"/>
        <v>272.20499999999998</v>
      </c>
      <c r="AS13">
        <f t="shared" si="50"/>
        <v>269.42290000000003</v>
      </c>
      <c r="AT13">
        <f t="shared" si="50"/>
        <v>266.63310000000001</v>
      </c>
      <c r="AU13">
        <f t="shared" si="50"/>
        <v>263.83580000000001</v>
      </c>
      <c r="AV13">
        <f t="shared" si="50"/>
        <v>261.03140000000002</v>
      </c>
      <c r="AW13">
        <f t="shared" si="50"/>
        <v>258.22019999999998</v>
      </c>
      <c r="AX13">
        <f t="shared" si="50"/>
        <v>255.4025</v>
      </c>
      <c r="AY13">
        <f t="shared" si="50"/>
        <v>252.57859999999999</v>
      </c>
      <c r="AZ13">
        <f t="shared" si="50"/>
        <v>249.74899999999997</v>
      </c>
      <c r="BA13">
        <f t="shared" si="50"/>
        <v>246.91399999999999</v>
      </c>
      <c r="BB13">
        <f t="shared" si="50"/>
        <v>244.07380000000003</v>
      </c>
      <c r="BC13">
        <f t="shared" si="50"/>
        <v>241.22909999999996</v>
      </c>
      <c r="BD13">
        <f t="shared" si="50"/>
        <v>238.38000000000002</v>
      </c>
      <c r="BE13">
        <f t="shared" si="50"/>
        <v>235.52709999999996</v>
      </c>
      <c r="BF13">
        <f t="shared" si="50"/>
        <v>232.67080000000001</v>
      </c>
      <c r="BG13">
        <f t="shared" si="50"/>
        <v>229.81139999999999</v>
      </c>
      <c r="BH13">
        <f t="shared" si="50"/>
        <v>226.9496</v>
      </c>
      <c r="BI13">
        <f t="shared" si="50"/>
        <v>224.08559999999997</v>
      </c>
      <c r="BJ13">
        <f t="shared" si="50"/>
        <v>221.2201</v>
      </c>
      <c r="BK13">
        <f t="shared" si="50"/>
        <v>218.3536</v>
      </c>
      <c r="BL13">
        <f t="shared" si="50"/>
        <v>215.4864</v>
      </c>
      <c r="BM13">
        <f t="shared" ref="BM13:CV13" si="51">BM5*10/10</f>
        <v>212.61930000000001</v>
      </c>
      <c r="BN13">
        <f t="shared" si="51"/>
        <v>209.7527</v>
      </c>
      <c r="BO13">
        <f t="shared" si="51"/>
        <v>206.88730000000001</v>
      </c>
      <c r="BP13">
        <f t="shared" si="51"/>
        <v>204.02369999999999</v>
      </c>
      <c r="BQ13">
        <f t="shared" si="51"/>
        <v>201.1626</v>
      </c>
      <c r="BR13">
        <f t="shared" si="51"/>
        <v>198.30449999999999</v>
      </c>
      <c r="BS13">
        <f t="shared" si="51"/>
        <v>195.4503</v>
      </c>
      <c r="BT13">
        <f t="shared" si="51"/>
        <v>192.60059999999999</v>
      </c>
      <c r="BU13">
        <f t="shared" si="51"/>
        <v>189.75620000000001</v>
      </c>
      <c r="BV13">
        <f t="shared" si="51"/>
        <v>186.91800000000001</v>
      </c>
      <c r="BW13">
        <f t="shared" si="51"/>
        <v>184.08680000000001</v>
      </c>
      <c r="BX13">
        <f t="shared" si="51"/>
        <v>181.26339999999999</v>
      </c>
      <c r="BY13">
        <f t="shared" si="51"/>
        <v>178.44890000000001</v>
      </c>
      <c r="BZ13">
        <f t="shared" si="51"/>
        <v>175.64410000000001</v>
      </c>
      <c r="CA13">
        <f t="shared" si="51"/>
        <v>172.8503</v>
      </c>
      <c r="CB13">
        <f t="shared" si="51"/>
        <v>170.06829999999999</v>
      </c>
      <c r="CC13">
        <f t="shared" si="51"/>
        <v>167.29939999999999</v>
      </c>
      <c r="CD13">
        <f t="shared" si="51"/>
        <v>164.54480000000001</v>
      </c>
      <c r="CE13">
        <f t="shared" si="51"/>
        <v>161.8058</v>
      </c>
      <c r="CF13">
        <f t="shared" si="51"/>
        <v>159.0838</v>
      </c>
      <c r="CG13">
        <f t="shared" si="51"/>
        <v>156.3801</v>
      </c>
      <c r="CH13">
        <f t="shared" si="51"/>
        <v>153.6962</v>
      </c>
      <c r="CI13">
        <f t="shared" si="51"/>
        <v>151.03380000000001</v>
      </c>
      <c r="CJ13">
        <f t="shared" si="51"/>
        <v>148.3946</v>
      </c>
      <c r="CK13">
        <f t="shared" si="51"/>
        <v>145.78030000000001</v>
      </c>
      <c r="CL13">
        <f t="shared" si="51"/>
        <v>143.19290000000001</v>
      </c>
      <c r="CM13">
        <f t="shared" si="51"/>
        <v>140.63419999999999</v>
      </c>
      <c r="CN13">
        <f t="shared" si="51"/>
        <v>138.10659999999999</v>
      </c>
      <c r="CO13">
        <f t="shared" si="51"/>
        <v>135.6121</v>
      </c>
      <c r="CP13">
        <f t="shared" si="51"/>
        <v>133.15309999999999</v>
      </c>
      <c r="CQ13">
        <f t="shared" si="51"/>
        <v>130.73220000000001</v>
      </c>
      <c r="CR13">
        <f t="shared" si="51"/>
        <v>128.352</v>
      </c>
      <c r="CS13">
        <f t="shared" si="51"/>
        <v>126.01520000000001</v>
      </c>
      <c r="CT13">
        <f t="shared" si="51"/>
        <v>123.7248</v>
      </c>
      <c r="CU13">
        <f t="shared" si="51"/>
        <v>121.48389999999999</v>
      </c>
      <c r="CV13">
        <f t="shared" si="51"/>
        <v>119.29569999999998</v>
      </c>
    </row>
    <row r="14" spans="1:100" x14ac:dyDescent="0.3">
      <c r="A14">
        <f t="shared" ref="A14:BL14" si="52">A6*10/10</f>
        <v>202.0522</v>
      </c>
      <c r="B14">
        <f t="shared" si="52"/>
        <v>202.0522</v>
      </c>
      <c r="C14">
        <f t="shared" si="52"/>
        <v>202.0522</v>
      </c>
      <c r="D14">
        <f t="shared" si="52"/>
        <v>202.0522</v>
      </c>
      <c r="E14">
        <f t="shared" si="52"/>
        <v>202.0522</v>
      </c>
      <c r="F14">
        <f t="shared" si="52"/>
        <v>202.0522</v>
      </c>
      <c r="G14">
        <f t="shared" si="52"/>
        <v>202.85400000000001</v>
      </c>
      <c r="H14">
        <f t="shared" si="52"/>
        <v>203.64959999999999</v>
      </c>
      <c r="I14">
        <f t="shared" si="52"/>
        <v>204.43889999999999</v>
      </c>
      <c r="J14">
        <f t="shared" si="52"/>
        <v>205.2217</v>
      </c>
      <c r="K14">
        <f t="shared" si="52"/>
        <v>205.9982</v>
      </c>
      <c r="L14">
        <f t="shared" si="52"/>
        <v>206.76799999999997</v>
      </c>
      <c r="M14">
        <f t="shared" si="52"/>
        <v>207.53130000000002</v>
      </c>
      <c r="N14">
        <f t="shared" si="52"/>
        <v>208.2878</v>
      </c>
      <c r="O14">
        <f t="shared" si="52"/>
        <v>209.03760000000003</v>
      </c>
      <c r="P14">
        <f t="shared" si="52"/>
        <v>209.78059999999999</v>
      </c>
      <c r="Q14">
        <f t="shared" si="52"/>
        <v>210.51660000000001</v>
      </c>
      <c r="R14">
        <f t="shared" si="52"/>
        <v>211.24560000000002</v>
      </c>
      <c r="S14">
        <f t="shared" si="52"/>
        <v>211.9676</v>
      </c>
      <c r="T14">
        <f t="shared" si="52"/>
        <v>212.68249999999998</v>
      </c>
      <c r="U14">
        <f t="shared" si="52"/>
        <v>213.39009999999999</v>
      </c>
      <c r="V14">
        <f t="shared" si="52"/>
        <v>214.09049999999996</v>
      </c>
      <c r="W14">
        <f t="shared" si="52"/>
        <v>214.78360000000004</v>
      </c>
      <c r="X14">
        <f t="shared" si="52"/>
        <v>215.46930000000003</v>
      </c>
      <c r="Y14">
        <f t="shared" si="52"/>
        <v>216.14760000000001</v>
      </c>
      <c r="Z14">
        <f t="shared" si="52"/>
        <v>216.81829999999999</v>
      </c>
      <c r="AA14">
        <f t="shared" si="52"/>
        <v>217.48150000000001</v>
      </c>
      <c r="AB14">
        <f t="shared" si="52"/>
        <v>218.137</v>
      </c>
      <c r="AC14">
        <f t="shared" si="52"/>
        <v>218.78490000000002</v>
      </c>
      <c r="AD14">
        <f t="shared" si="52"/>
        <v>219.42500000000001</v>
      </c>
      <c r="AE14">
        <f t="shared" si="52"/>
        <v>220.0573</v>
      </c>
      <c r="AF14">
        <f t="shared" si="52"/>
        <v>220.68180000000001</v>
      </c>
      <c r="AG14">
        <f t="shared" si="52"/>
        <v>221.29830000000001</v>
      </c>
      <c r="AH14">
        <f t="shared" si="52"/>
        <v>221.90680000000003</v>
      </c>
      <c r="AI14">
        <f t="shared" si="52"/>
        <v>222.50740000000002</v>
      </c>
      <c r="AJ14">
        <f t="shared" si="52"/>
        <v>223.09989999999999</v>
      </c>
      <c r="AK14">
        <f t="shared" si="52"/>
        <v>223.6842</v>
      </c>
      <c r="AL14">
        <f t="shared" si="52"/>
        <v>224.26040000000003</v>
      </c>
      <c r="AM14">
        <f t="shared" si="52"/>
        <v>224.82830000000004</v>
      </c>
      <c r="AN14">
        <f t="shared" si="52"/>
        <v>225.38800000000001</v>
      </c>
      <c r="AO14">
        <f t="shared" si="52"/>
        <v>225.93940000000003</v>
      </c>
      <c r="AP14">
        <f t="shared" si="52"/>
        <v>226.48240000000001</v>
      </c>
      <c r="AQ14">
        <f t="shared" si="52"/>
        <v>227.017</v>
      </c>
      <c r="AR14">
        <f t="shared" si="52"/>
        <v>227.54310000000001</v>
      </c>
      <c r="AS14">
        <f t="shared" si="52"/>
        <v>228.06080000000003</v>
      </c>
      <c r="AT14">
        <f t="shared" si="52"/>
        <v>228.56990000000002</v>
      </c>
      <c r="AU14">
        <f t="shared" si="52"/>
        <v>229.07040000000001</v>
      </c>
      <c r="AV14">
        <f t="shared" si="52"/>
        <v>229.56229999999999</v>
      </c>
      <c r="AW14">
        <f t="shared" si="52"/>
        <v>230.0455</v>
      </c>
      <c r="AX14">
        <f t="shared" si="52"/>
        <v>230.52000000000004</v>
      </c>
      <c r="AY14">
        <f t="shared" si="52"/>
        <v>230.98580000000001</v>
      </c>
      <c r="AZ14">
        <f t="shared" si="52"/>
        <v>231.44279999999998</v>
      </c>
      <c r="BA14">
        <f t="shared" si="52"/>
        <v>231.89099999999999</v>
      </c>
      <c r="BB14">
        <f t="shared" si="52"/>
        <v>232.3304</v>
      </c>
      <c r="BC14">
        <f t="shared" si="52"/>
        <v>232.76079999999996</v>
      </c>
      <c r="BD14">
        <f t="shared" si="52"/>
        <v>233.1823</v>
      </c>
      <c r="BE14">
        <f t="shared" si="52"/>
        <v>233.5949</v>
      </c>
      <c r="BF14">
        <f t="shared" si="52"/>
        <v>233.99850000000001</v>
      </c>
      <c r="BG14">
        <f t="shared" si="52"/>
        <v>234.39299999999997</v>
      </c>
      <c r="BH14">
        <f t="shared" si="52"/>
        <v>234.77849999999998</v>
      </c>
      <c r="BI14">
        <f t="shared" si="52"/>
        <v>235.15500000000003</v>
      </c>
      <c r="BJ14">
        <f t="shared" si="52"/>
        <v>235.5223</v>
      </c>
      <c r="BK14">
        <f t="shared" si="52"/>
        <v>235.88050000000004</v>
      </c>
      <c r="BL14">
        <f t="shared" si="52"/>
        <v>236.2295</v>
      </c>
      <c r="BM14">
        <f t="shared" ref="BM14:CV14" si="53">BM6*10/10</f>
        <v>236.56930000000003</v>
      </c>
      <c r="BN14">
        <f t="shared" si="53"/>
        <v>236.89989999999997</v>
      </c>
      <c r="BO14">
        <f t="shared" si="53"/>
        <v>237.22120000000001</v>
      </c>
      <c r="BP14">
        <f t="shared" si="53"/>
        <v>237.53319999999999</v>
      </c>
      <c r="BQ14">
        <f t="shared" si="53"/>
        <v>237.83600000000001</v>
      </c>
      <c r="BR14">
        <f t="shared" si="53"/>
        <v>238.12950000000001</v>
      </c>
      <c r="BS14">
        <f t="shared" si="53"/>
        <v>238.4136</v>
      </c>
      <c r="BT14">
        <f t="shared" si="53"/>
        <v>238.68829999999997</v>
      </c>
      <c r="BU14">
        <f t="shared" si="53"/>
        <v>238.95359999999999</v>
      </c>
      <c r="BV14">
        <f t="shared" si="53"/>
        <v>239.20959999999999</v>
      </c>
      <c r="BW14">
        <f t="shared" si="53"/>
        <v>239.45609999999996</v>
      </c>
      <c r="BX14">
        <f t="shared" si="53"/>
        <v>239.69310000000002</v>
      </c>
      <c r="BY14">
        <f t="shared" si="53"/>
        <v>239.92070000000004</v>
      </c>
      <c r="BZ14">
        <f t="shared" si="53"/>
        <v>240.13890000000001</v>
      </c>
      <c r="CA14">
        <f t="shared" si="53"/>
        <v>240.3475</v>
      </c>
      <c r="CB14">
        <f t="shared" si="53"/>
        <v>240.54660000000004</v>
      </c>
      <c r="CC14">
        <f t="shared" si="53"/>
        <v>240.7362</v>
      </c>
      <c r="CD14">
        <f t="shared" si="53"/>
        <v>240.91620000000003</v>
      </c>
      <c r="CE14">
        <f t="shared" si="53"/>
        <v>241.08670000000001</v>
      </c>
      <c r="CF14">
        <f t="shared" si="53"/>
        <v>241.24760000000001</v>
      </c>
      <c r="CG14">
        <f t="shared" si="53"/>
        <v>241.3989</v>
      </c>
      <c r="CH14">
        <f t="shared" si="53"/>
        <v>241.54059999999998</v>
      </c>
      <c r="CI14">
        <f t="shared" si="53"/>
        <v>241.67269999999999</v>
      </c>
      <c r="CJ14">
        <f t="shared" si="53"/>
        <v>241.79519999999997</v>
      </c>
      <c r="CK14">
        <f t="shared" si="53"/>
        <v>241.90810000000002</v>
      </c>
      <c r="CL14">
        <f t="shared" si="53"/>
        <v>242.01140000000001</v>
      </c>
      <c r="CM14">
        <f t="shared" si="53"/>
        <v>242.10499999999996</v>
      </c>
      <c r="CN14">
        <f t="shared" si="53"/>
        <v>242.18890000000002</v>
      </c>
      <c r="CO14">
        <f t="shared" si="53"/>
        <v>242.26329999999999</v>
      </c>
      <c r="CP14">
        <f t="shared" si="53"/>
        <v>242.3279</v>
      </c>
      <c r="CQ14">
        <f t="shared" si="53"/>
        <v>242.38290000000001</v>
      </c>
      <c r="CR14">
        <f t="shared" si="53"/>
        <v>242.4282</v>
      </c>
      <c r="CS14">
        <f t="shared" si="53"/>
        <v>242.46390000000002</v>
      </c>
      <c r="CT14">
        <f t="shared" si="53"/>
        <v>242.4898</v>
      </c>
      <c r="CU14">
        <f t="shared" si="53"/>
        <v>242.5061</v>
      </c>
      <c r="CV14">
        <f t="shared" si="53"/>
        <v>242.5127</v>
      </c>
    </row>
    <row r="16" spans="1:100" x14ac:dyDescent="0.3">
      <c r="B16">
        <v>-39.4</v>
      </c>
      <c r="Q16">
        <v>-31.7</v>
      </c>
      <c r="AD16">
        <v>-21.4</v>
      </c>
      <c r="AP16">
        <v>11.8</v>
      </c>
      <c r="BC16">
        <v>1.7</v>
      </c>
      <c r="BP16">
        <v>8.1999999999999993</v>
      </c>
      <c r="CB16">
        <v>17.5</v>
      </c>
      <c r="CO16">
        <v>27.3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42DC-268F-4FA5-B271-A4AD7ECCB8FF}">
  <dimension ref="A1:CV15"/>
  <sheetViews>
    <sheetView topLeftCell="R11" workbookViewId="0">
      <selection activeCell="B15" sqref="B15:CV15"/>
    </sheetView>
  </sheetViews>
  <sheetFormatPr defaultRowHeight="14.4" x14ac:dyDescent="0.3"/>
  <cols>
    <col min="1" max="9" width="10.77734375" bestFit="1" customWidth="1"/>
    <col min="10" max="99" width="11.77734375" bestFit="1" customWidth="1"/>
    <col min="100" max="100" width="12.77734375" bestFit="1" customWidth="1"/>
  </cols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3">
      <c r="A2" t="s">
        <v>1000</v>
      </c>
      <c r="B2" t="s">
        <v>1000</v>
      </c>
      <c r="C2" t="s">
        <v>1000</v>
      </c>
      <c r="D2" t="s">
        <v>1000</v>
      </c>
      <c r="E2" t="s">
        <v>1000</v>
      </c>
      <c r="F2" t="s">
        <v>1001</v>
      </c>
      <c r="G2" t="s">
        <v>1002</v>
      </c>
      <c r="H2" t="s">
        <v>1003</v>
      </c>
      <c r="I2" t="s">
        <v>1004</v>
      </c>
      <c r="J2" t="s">
        <v>1005</v>
      </c>
      <c r="K2" t="s">
        <v>1006</v>
      </c>
      <c r="L2" t="s">
        <v>1007</v>
      </c>
      <c r="M2" t="s">
        <v>1008</v>
      </c>
      <c r="N2" t="s">
        <v>1009</v>
      </c>
      <c r="O2" t="s">
        <v>1010</v>
      </c>
      <c r="P2" t="s">
        <v>1011</v>
      </c>
      <c r="Q2" t="s">
        <v>1012</v>
      </c>
      <c r="R2" t="s">
        <v>1013</v>
      </c>
      <c r="S2" t="s">
        <v>1014</v>
      </c>
      <c r="T2" t="s">
        <v>1015</v>
      </c>
      <c r="U2" t="s">
        <v>1016</v>
      </c>
      <c r="V2" t="s">
        <v>1017</v>
      </c>
      <c r="W2" t="s">
        <v>1018</v>
      </c>
      <c r="X2" t="s">
        <v>1019</v>
      </c>
      <c r="Y2" t="s">
        <v>1020</v>
      </c>
      <c r="Z2" t="s">
        <v>1021</v>
      </c>
      <c r="AA2" t="s">
        <v>1022</v>
      </c>
      <c r="AB2" t="s">
        <v>1023</v>
      </c>
      <c r="AC2" t="s">
        <v>1024</v>
      </c>
      <c r="AD2" t="s">
        <v>1025</v>
      </c>
      <c r="AE2" t="s">
        <v>1026</v>
      </c>
      <c r="AF2" t="s">
        <v>1027</v>
      </c>
      <c r="AG2" t="s">
        <v>1028</v>
      </c>
      <c r="AH2" t="s">
        <v>1029</v>
      </c>
      <c r="AI2" t="s">
        <v>1030</v>
      </c>
      <c r="AJ2" t="s">
        <v>1031</v>
      </c>
      <c r="AK2" t="s">
        <v>1032</v>
      </c>
      <c r="AL2" t="s">
        <v>1033</v>
      </c>
      <c r="AM2" t="s">
        <v>1034</v>
      </c>
      <c r="AN2" t="s">
        <v>1035</v>
      </c>
      <c r="AO2" t="s">
        <v>1036</v>
      </c>
      <c r="AP2" t="s">
        <v>1037</v>
      </c>
      <c r="AQ2" t="s">
        <v>1038</v>
      </c>
      <c r="AR2" t="s">
        <v>1039</v>
      </c>
      <c r="AS2" t="s">
        <v>1040</v>
      </c>
      <c r="AT2" t="s">
        <v>1041</v>
      </c>
      <c r="AU2" t="s">
        <v>1042</v>
      </c>
      <c r="AV2" t="s">
        <v>1043</v>
      </c>
      <c r="AW2" t="s">
        <v>1044</v>
      </c>
      <c r="AX2" t="s">
        <v>1045</v>
      </c>
      <c r="AY2" t="s">
        <v>1046</v>
      </c>
      <c r="AZ2" t="s">
        <v>1047</v>
      </c>
      <c r="BA2" t="s">
        <v>1048</v>
      </c>
      <c r="BB2" t="s">
        <v>1049</v>
      </c>
      <c r="BC2" t="s">
        <v>1050</v>
      </c>
      <c r="BD2" t="s">
        <v>1051</v>
      </c>
      <c r="BE2" t="s">
        <v>1052</v>
      </c>
      <c r="BF2" t="s">
        <v>1053</v>
      </c>
      <c r="BG2" t="s">
        <v>1054</v>
      </c>
      <c r="BH2" t="s">
        <v>1055</v>
      </c>
      <c r="BI2" t="s">
        <v>1056</v>
      </c>
      <c r="BJ2" t="s">
        <v>1057</v>
      </c>
      <c r="BK2" t="s">
        <v>1058</v>
      </c>
      <c r="BL2" t="s">
        <v>1059</v>
      </c>
      <c r="BM2" t="s">
        <v>1060</v>
      </c>
      <c r="BN2" t="s">
        <v>1061</v>
      </c>
      <c r="BO2" t="s">
        <v>1062</v>
      </c>
      <c r="BP2" t="s">
        <v>1063</v>
      </c>
      <c r="BQ2" t="s">
        <v>1064</v>
      </c>
      <c r="BR2" t="s">
        <v>1065</v>
      </c>
      <c r="BS2" t="s">
        <v>1066</v>
      </c>
      <c r="BT2" t="s">
        <v>1067</v>
      </c>
      <c r="BU2" t="s">
        <v>1068</v>
      </c>
      <c r="BV2" t="s">
        <v>1069</v>
      </c>
      <c r="BW2" t="s">
        <v>1070</v>
      </c>
      <c r="BX2" t="s">
        <v>1071</v>
      </c>
      <c r="BY2" t="s">
        <v>1072</v>
      </c>
      <c r="BZ2" t="s">
        <v>1073</v>
      </c>
      <c r="CA2" t="s">
        <v>1074</v>
      </c>
      <c r="CB2" t="s">
        <v>1075</v>
      </c>
      <c r="CC2" t="s">
        <v>1076</v>
      </c>
      <c r="CD2" t="s">
        <v>1077</v>
      </c>
      <c r="CE2" t="s">
        <v>1078</v>
      </c>
      <c r="CF2" t="s">
        <v>1079</v>
      </c>
      <c r="CG2" t="s">
        <v>1080</v>
      </c>
      <c r="CH2" t="s">
        <v>1081</v>
      </c>
      <c r="CI2" t="s">
        <v>1082</v>
      </c>
      <c r="CJ2" t="s">
        <v>1083</v>
      </c>
      <c r="CK2" t="s">
        <v>1084</v>
      </c>
      <c r="CL2" t="s">
        <v>1085</v>
      </c>
      <c r="CM2" t="s">
        <v>1086</v>
      </c>
      <c r="CN2" t="s">
        <v>1087</v>
      </c>
      <c r="CO2" t="s">
        <v>1088</v>
      </c>
      <c r="CP2" t="s">
        <v>1089</v>
      </c>
      <c r="CQ2" t="s">
        <v>1090</v>
      </c>
      <c r="CR2" t="s">
        <v>1091</v>
      </c>
      <c r="CS2" t="s">
        <v>1092</v>
      </c>
      <c r="CT2" t="s">
        <v>1093</v>
      </c>
      <c r="CU2" t="s">
        <v>1094</v>
      </c>
      <c r="CV2" t="s">
        <v>1095</v>
      </c>
    </row>
    <row r="3" spans="1:100" x14ac:dyDescent="0.3">
      <c r="A3" t="s">
        <v>1096</v>
      </c>
      <c r="B3" t="s">
        <v>1096</v>
      </c>
      <c r="C3" t="s">
        <v>1096</v>
      </c>
      <c r="D3" t="s">
        <v>1096</v>
      </c>
      <c r="E3" t="s">
        <v>1096</v>
      </c>
      <c r="F3" t="s">
        <v>1096</v>
      </c>
      <c r="G3" t="s">
        <v>1097</v>
      </c>
      <c r="H3" t="s">
        <v>1098</v>
      </c>
      <c r="I3" t="s">
        <v>1099</v>
      </c>
      <c r="J3" t="s">
        <v>1100</v>
      </c>
      <c r="K3" t="s">
        <v>1101</v>
      </c>
      <c r="L3" t="s">
        <v>1102</v>
      </c>
      <c r="M3" t="s">
        <v>1103</v>
      </c>
      <c r="N3" t="s">
        <v>1104</v>
      </c>
      <c r="O3" t="s">
        <v>1105</v>
      </c>
      <c r="P3" t="s">
        <v>1106</v>
      </c>
      <c r="Q3" t="s">
        <v>1107</v>
      </c>
      <c r="R3" t="s">
        <v>1108</v>
      </c>
      <c r="S3" t="s">
        <v>1109</v>
      </c>
      <c r="T3" t="s">
        <v>1110</v>
      </c>
      <c r="U3" t="s">
        <v>1111</v>
      </c>
      <c r="V3" t="s">
        <v>1112</v>
      </c>
      <c r="W3" t="s">
        <v>1113</v>
      </c>
      <c r="X3" t="s">
        <v>1114</v>
      </c>
      <c r="Y3" t="s">
        <v>1115</v>
      </c>
      <c r="Z3" t="s">
        <v>1116</v>
      </c>
      <c r="AA3" t="s">
        <v>1117</v>
      </c>
      <c r="AB3" t="s">
        <v>1118</v>
      </c>
      <c r="AC3" t="s">
        <v>1119</v>
      </c>
      <c r="AD3" t="s">
        <v>1120</v>
      </c>
      <c r="AE3" t="s">
        <v>1121</v>
      </c>
      <c r="AF3" t="s">
        <v>1122</v>
      </c>
      <c r="AG3" t="s">
        <v>1123</v>
      </c>
      <c r="AH3" t="s">
        <v>1124</v>
      </c>
      <c r="AI3" t="s">
        <v>1125</v>
      </c>
      <c r="AJ3" t="s">
        <v>1126</v>
      </c>
      <c r="AK3" t="s">
        <v>1127</v>
      </c>
      <c r="AL3" t="s">
        <v>1128</v>
      </c>
      <c r="AM3" t="s">
        <v>1129</v>
      </c>
      <c r="AN3" t="s">
        <v>1130</v>
      </c>
      <c r="AO3" t="s">
        <v>1131</v>
      </c>
      <c r="AP3" t="s">
        <v>1132</v>
      </c>
      <c r="AQ3" t="s">
        <v>1133</v>
      </c>
      <c r="AR3" t="s">
        <v>1134</v>
      </c>
      <c r="AS3" t="s">
        <v>1135</v>
      </c>
      <c r="AT3" t="s">
        <v>1136</v>
      </c>
      <c r="AU3" t="s">
        <v>1137</v>
      </c>
      <c r="AV3" t="s">
        <v>1138</v>
      </c>
      <c r="AW3" t="s">
        <v>1139</v>
      </c>
      <c r="AX3" t="s">
        <v>1140</v>
      </c>
      <c r="AY3" t="s">
        <v>1141</v>
      </c>
      <c r="AZ3" t="s">
        <v>1142</v>
      </c>
      <c r="BA3" t="s">
        <v>1143</v>
      </c>
      <c r="BB3" t="s">
        <v>1144</v>
      </c>
      <c r="BC3" t="s">
        <v>1145</v>
      </c>
      <c r="BD3" t="s">
        <v>1146</v>
      </c>
      <c r="BE3" t="s">
        <v>1147</v>
      </c>
      <c r="BF3" t="s">
        <v>1148</v>
      </c>
      <c r="BG3" t="s">
        <v>1149</v>
      </c>
      <c r="BH3" t="s">
        <v>1150</v>
      </c>
      <c r="BI3" t="s">
        <v>1151</v>
      </c>
      <c r="BJ3" t="s">
        <v>1152</v>
      </c>
      <c r="BK3" t="s">
        <v>1153</v>
      </c>
      <c r="BL3" t="s">
        <v>1154</v>
      </c>
      <c r="BM3" t="s">
        <v>1155</v>
      </c>
      <c r="BN3" t="s">
        <v>1156</v>
      </c>
      <c r="BO3" t="s">
        <v>1157</v>
      </c>
      <c r="BP3" t="s">
        <v>1158</v>
      </c>
      <c r="BQ3" t="s">
        <v>1159</v>
      </c>
      <c r="BR3" t="s">
        <v>1160</v>
      </c>
      <c r="BS3" t="s">
        <v>1161</v>
      </c>
      <c r="BT3" t="s">
        <v>1162</v>
      </c>
      <c r="BU3" t="s">
        <v>1163</v>
      </c>
      <c r="BV3" t="s">
        <v>1164</v>
      </c>
      <c r="BW3" t="s">
        <v>1165</v>
      </c>
      <c r="BX3" t="s">
        <v>1166</v>
      </c>
      <c r="BY3" t="s">
        <v>1167</v>
      </c>
      <c r="BZ3" t="s">
        <v>1168</v>
      </c>
      <c r="CA3" t="s">
        <v>1169</v>
      </c>
      <c r="CB3" t="s">
        <v>1170</v>
      </c>
      <c r="CC3" t="s">
        <v>1171</v>
      </c>
      <c r="CD3" t="s">
        <v>1172</v>
      </c>
      <c r="CE3" t="s">
        <v>1173</v>
      </c>
      <c r="CF3" t="s">
        <v>1174</v>
      </c>
      <c r="CG3" t="s">
        <v>1175</v>
      </c>
      <c r="CH3" t="s">
        <v>1176</v>
      </c>
      <c r="CI3" t="s">
        <v>1177</v>
      </c>
      <c r="CJ3" t="s">
        <v>1178</v>
      </c>
      <c r="CK3" t="s">
        <v>1179</v>
      </c>
      <c r="CL3" t="s">
        <v>1180</v>
      </c>
      <c r="CM3" t="s">
        <v>1181</v>
      </c>
      <c r="CN3" t="s">
        <v>1182</v>
      </c>
      <c r="CO3" t="s">
        <v>1183</v>
      </c>
      <c r="CP3" t="s">
        <v>1184</v>
      </c>
      <c r="CQ3" t="s">
        <v>1185</v>
      </c>
      <c r="CR3" t="s">
        <v>1186</v>
      </c>
      <c r="CS3" t="s">
        <v>1187</v>
      </c>
      <c r="CT3" t="s">
        <v>1188</v>
      </c>
      <c r="CU3" t="s">
        <v>1189</v>
      </c>
      <c r="CV3" t="s">
        <v>1190</v>
      </c>
    </row>
    <row r="4" spans="1:100" x14ac:dyDescent="0.3">
      <c r="A4" t="s">
        <v>1192</v>
      </c>
      <c r="B4" t="s">
        <v>1192</v>
      </c>
      <c r="C4" t="s">
        <v>1192</v>
      </c>
      <c r="D4" t="s">
        <v>1192</v>
      </c>
      <c r="E4" t="s">
        <v>1192</v>
      </c>
      <c r="F4" t="s">
        <v>1192</v>
      </c>
      <c r="G4" t="s">
        <v>1193</v>
      </c>
      <c r="H4" t="s">
        <v>1194</v>
      </c>
      <c r="I4" t="s">
        <v>1195</v>
      </c>
      <c r="J4" t="s">
        <v>1196</v>
      </c>
      <c r="K4" t="s">
        <v>1197</v>
      </c>
      <c r="L4" t="s">
        <v>1198</v>
      </c>
      <c r="M4" t="s">
        <v>1199</v>
      </c>
      <c r="N4" t="s">
        <v>1200</v>
      </c>
      <c r="O4" t="s">
        <v>1201</v>
      </c>
      <c r="P4" t="s">
        <v>1202</v>
      </c>
      <c r="Q4" t="s">
        <v>1203</v>
      </c>
      <c r="R4" t="s">
        <v>1204</v>
      </c>
      <c r="S4" t="s">
        <v>1205</v>
      </c>
      <c r="T4" t="s">
        <v>1206</v>
      </c>
      <c r="U4" t="s">
        <v>1207</v>
      </c>
      <c r="V4" t="s">
        <v>1208</v>
      </c>
      <c r="W4" t="s">
        <v>1209</v>
      </c>
      <c r="X4" t="s">
        <v>1210</v>
      </c>
      <c r="Y4" t="s">
        <v>1211</v>
      </c>
      <c r="Z4" t="s">
        <v>1212</v>
      </c>
      <c r="AA4" t="s">
        <v>1213</v>
      </c>
      <c r="AB4" t="s">
        <v>1214</v>
      </c>
      <c r="AC4" t="s">
        <v>1215</v>
      </c>
      <c r="AD4" t="s">
        <v>1216</v>
      </c>
      <c r="AE4" t="s">
        <v>1217</v>
      </c>
      <c r="AF4" t="s">
        <v>1218</v>
      </c>
      <c r="AG4" t="s">
        <v>1219</v>
      </c>
      <c r="AH4" t="s">
        <v>1220</v>
      </c>
      <c r="AI4" t="s">
        <v>1221</v>
      </c>
      <c r="AJ4" t="s">
        <v>1222</v>
      </c>
      <c r="AK4" t="s">
        <v>1223</v>
      </c>
      <c r="AL4" t="s">
        <v>1224</v>
      </c>
      <c r="AM4" t="s">
        <v>1225</v>
      </c>
      <c r="AN4" t="s">
        <v>1226</v>
      </c>
      <c r="AO4" t="s">
        <v>1227</v>
      </c>
      <c r="AP4" t="s">
        <v>1228</v>
      </c>
      <c r="AQ4" t="s">
        <v>1229</v>
      </c>
      <c r="AR4" t="s">
        <v>1230</v>
      </c>
      <c r="AS4" t="s">
        <v>1231</v>
      </c>
      <c r="AT4" t="s">
        <v>1232</v>
      </c>
      <c r="AU4" t="s">
        <v>1233</v>
      </c>
      <c r="AV4" t="s">
        <v>1234</v>
      </c>
      <c r="AW4" t="s">
        <v>1235</v>
      </c>
      <c r="AX4" t="s">
        <v>1236</v>
      </c>
      <c r="AY4" t="s">
        <v>1237</v>
      </c>
      <c r="AZ4" t="s">
        <v>1238</v>
      </c>
      <c r="BA4" t="s">
        <v>1239</v>
      </c>
      <c r="BB4" t="s">
        <v>1240</v>
      </c>
      <c r="BC4" t="s">
        <v>1241</v>
      </c>
      <c r="BD4" t="s">
        <v>1242</v>
      </c>
      <c r="BE4" t="s">
        <v>1243</v>
      </c>
      <c r="BF4" t="s">
        <v>1244</v>
      </c>
      <c r="BG4" t="s">
        <v>1245</v>
      </c>
      <c r="BH4" t="s">
        <v>1246</v>
      </c>
      <c r="BI4" t="s">
        <v>1247</v>
      </c>
      <c r="BJ4" t="s">
        <v>1248</v>
      </c>
      <c r="BK4" t="s">
        <v>1249</v>
      </c>
      <c r="BL4" t="s">
        <v>1250</v>
      </c>
      <c r="BM4" t="s">
        <v>1251</v>
      </c>
      <c r="BN4" t="s">
        <v>1252</v>
      </c>
      <c r="BO4" t="s">
        <v>1253</v>
      </c>
      <c r="BP4" t="s">
        <v>1254</v>
      </c>
      <c r="BQ4" t="s">
        <v>1255</v>
      </c>
      <c r="BR4" t="s">
        <v>1256</v>
      </c>
      <c r="BS4" t="s">
        <v>1257</v>
      </c>
      <c r="BT4" t="s">
        <v>1258</v>
      </c>
      <c r="BU4" t="s">
        <v>1259</v>
      </c>
      <c r="BV4" t="s">
        <v>1260</v>
      </c>
      <c r="BW4" t="s">
        <v>1261</v>
      </c>
      <c r="BX4" t="s">
        <v>1262</v>
      </c>
      <c r="BY4" t="s">
        <v>1263</v>
      </c>
      <c r="BZ4" t="s">
        <v>1264</v>
      </c>
      <c r="CA4" t="s">
        <v>1265</v>
      </c>
      <c r="CB4" t="s">
        <v>1266</v>
      </c>
      <c r="CC4" t="s">
        <v>1267</v>
      </c>
      <c r="CD4" t="s">
        <v>1268</v>
      </c>
      <c r="CE4" t="s">
        <v>1269</v>
      </c>
      <c r="CF4" t="s">
        <v>1270</v>
      </c>
      <c r="CG4" t="s">
        <v>1271</v>
      </c>
      <c r="CH4" t="s">
        <v>1272</v>
      </c>
      <c r="CI4" t="s">
        <v>1273</v>
      </c>
      <c r="CJ4" t="s">
        <v>1274</v>
      </c>
      <c r="CK4" t="s">
        <v>1275</v>
      </c>
      <c r="CL4" t="s">
        <v>1276</v>
      </c>
      <c r="CM4" t="s">
        <v>1277</v>
      </c>
      <c r="CN4" t="s">
        <v>1278</v>
      </c>
      <c r="CO4" t="s">
        <v>1279</v>
      </c>
      <c r="CP4" t="s">
        <v>1280</v>
      </c>
      <c r="CQ4" t="s">
        <v>1281</v>
      </c>
      <c r="CR4" t="s">
        <v>1282</v>
      </c>
      <c r="CS4" t="s">
        <v>1283</v>
      </c>
      <c r="CT4" t="s">
        <v>1284</v>
      </c>
      <c r="CU4" t="s">
        <v>1285</v>
      </c>
      <c r="CV4" t="s">
        <v>1286</v>
      </c>
    </row>
    <row r="5" spans="1:100" x14ac:dyDescent="0.3">
      <c r="A5" t="s">
        <v>1192</v>
      </c>
      <c r="B5" t="s">
        <v>1192</v>
      </c>
      <c r="C5" t="s">
        <v>1192</v>
      </c>
      <c r="D5" t="s">
        <v>1192</v>
      </c>
      <c r="E5" t="s">
        <v>1192</v>
      </c>
      <c r="F5" t="s">
        <v>1192</v>
      </c>
      <c r="G5" t="s">
        <v>1193</v>
      </c>
      <c r="H5" t="s">
        <v>1194</v>
      </c>
      <c r="I5" t="s">
        <v>1195</v>
      </c>
      <c r="J5" t="s">
        <v>1196</v>
      </c>
      <c r="K5" t="s">
        <v>1197</v>
      </c>
      <c r="L5" t="s">
        <v>1198</v>
      </c>
      <c r="M5" t="s">
        <v>1199</v>
      </c>
      <c r="N5" t="s">
        <v>1200</v>
      </c>
      <c r="O5" t="s">
        <v>1201</v>
      </c>
      <c r="P5" t="s">
        <v>1202</v>
      </c>
      <c r="Q5" t="s">
        <v>1203</v>
      </c>
      <c r="R5" t="s">
        <v>1204</v>
      </c>
      <c r="S5" t="s">
        <v>1205</v>
      </c>
      <c r="T5" t="s">
        <v>1206</v>
      </c>
      <c r="U5" t="s">
        <v>1207</v>
      </c>
      <c r="V5" t="s">
        <v>1208</v>
      </c>
      <c r="W5" t="s">
        <v>1209</v>
      </c>
      <c r="X5" t="s">
        <v>1210</v>
      </c>
      <c r="Y5" t="s">
        <v>1211</v>
      </c>
      <c r="Z5" t="s">
        <v>1212</v>
      </c>
      <c r="AA5" t="s">
        <v>1213</v>
      </c>
      <c r="AB5" t="s">
        <v>1214</v>
      </c>
      <c r="AC5" t="s">
        <v>1215</v>
      </c>
      <c r="AD5" t="s">
        <v>1216</v>
      </c>
      <c r="AE5" t="s">
        <v>1217</v>
      </c>
      <c r="AF5" t="s">
        <v>1218</v>
      </c>
      <c r="AG5" t="s">
        <v>1219</v>
      </c>
      <c r="AH5" t="s">
        <v>1220</v>
      </c>
      <c r="AI5" t="s">
        <v>1221</v>
      </c>
      <c r="AJ5" t="s">
        <v>1222</v>
      </c>
      <c r="AK5" t="s">
        <v>1223</v>
      </c>
      <c r="AL5" t="s">
        <v>1224</v>
      </c>
      <c r="AM5" t="s">
        <v>1225</v>
      </c>
      <c r="AN5" t="s">
        <v>1226</v>
      </c>
      <c r="AO5" t="s">
        <v>1227</v>
      </c>
      <c r="AP5" t="s">
        <v>1228</v>
      </c>
      <c r="AQ5" t="s">
        <v>1229</v>
      </c>
      <c r="AR5" t="s">
        <v>1230</v>
      </c>
      <c r="AS5" t="s">
        <v>1231</v>
      </c>
      <c r="AT5" t="s">
        <v>1232</v>
      </c>
      <c r="AU5" t="s">
        <v>1233</v>
      </c>
      <c r="AV5" t="s">
        <v>1234</v>
      </c>
      <c r="AW5" t="s">
        <v>1235</v>
      </c>
      <c r="AX5" t="s">
        <v>1236</v>
      </c>
      <c r="AY5" t="s">
        <v>1237</v>
      </c>
      <c r="AZ5" t="s">
        <v>1238</v>
      </c>
      <c r="BA5" t="s">
        <v>1239</v>
      </c>
      <c r="BB5" t="s">
        <v>1240</v>
      </c>
      <c r="BC5" t="s">
        <v>1241</v>
      </c>
      <c r="BD5" t="s">
        <v>1242</v>
      </c>
      <c r="BE5" t="s">
        <v>1243</v>
      </c>
      <c r="BF5" t="s">
        <v>1244</v>
      </c>
      <c r="BG5" t="s">
        <v>1245</v>
      </c>
      <c r="BH5" t="s">
        <v>1246</v>
      </c>
      <c r="BI5" t="s">
        <v>1247</v>
      </c>
      <c r="BJ5" t="s">
        <v>1248</v>
      </c>
      <c r="BK5" t="s">
        <v>1249</v>
      </c>
      <c r="BL5" t="s">
        <v>1250</v>
      </c>
      <c r="BM5" t="s">
        <v>1251</v>
      </c>
      <c r="BN5" t="s">
        <v>1252</v>
      </c>
      <c r="BO5" t="s">
        <v>1253</v>
      </c>
      <c r="BP5" t="s">
        <v>1254</v>
      </c>
      <c r="BQ5" t="s">
        <v>1255</v>
      </c>
      <c r="BR5" t="s">
        <v>1256</v>
      </c>
      <c r="BS5" t="s">
        <v>1257</v>
      </c>
      <c r="BT5" t="s">
        <v>1258</v>
      </c>
      <c r="BU5" t="s">
        <v>1259</v>
      </c>
      <c r="BV5" t="s">
        <v>1260</v>
      </c>
      <c r="BW5" t="s">
        <v>1261</v>
      </c>
      <c r="BX5" t="s">
        <v>1262</v>
      </c>
      <c r="BY5" t="s">
        <v>1263</v>
      </c>
      <c r="BZ5" t="s">
        <v>1264</v>
      </c>
      <c r="CA5" t="s">
        <v>1265</v>
      </c>
      <c r="CB5" t="s">
        <v>1266</v>
      </c>
      <c r="CC5" t="s">
        <v>1267</v>
      </c>
      <c r="CD5" t="s">
        <v>1268</v>
      </c>
      <c r="CE5" t="s">
        <v>1269</v>
      </c>
      <c r="CF5" t="s">
        <v>1270</v>
      </c>
      <c r="CG5" t="s">
        <v>1271</v>
      </c>
      <c r="CH5" t="s">
        <v>1272</v>
      </c>
      <c r="CI5" t="s">
        <v>1273</v>
      </c>
      <c r="CJ5" t="s">
        <v>1274</v>
      </c>
      <c r="CK5" t="s">
        <v>1275</v>
      </c>
      <c r="CL5" t="s">
        <v>1276</v>
      </c>
      <c r="CM5" t="s">
        <v>1277</v>
      </c>
      <c r="CN5" t="s">
        <v>1278</v>
      </c>
      <c r="CO5" t="s">
        <v>1279</v>
      </c>
      <c r="CP5" t="s">
        <v>1280</v>
      </c>
      <c r="CQ5" t="s">
        <v>1281</v>
      </c>
      <c r="CR5" t="s">
        <v>1282</v>
      </c>
      <c r="CS5" t="s">
        <v>1283</v>
      </c>
      <c r="CT5" t="s">
        <v>1284</v>
      </c>
      <c r="CU5" t="s">
        <v>1285</v>
      </c>
      <c r="CV5" t="s">
        <v>1286</v>
      </c>
    </row>
    <row r="6" spans="1:100" x14ac:dyDescent="0.3">
      <c r="A6" t="s">
        <v>1096</v>
      </c>
      <c r="B6" t="s">
        <v>1096</v>
      </c>
      <c r="C6" t="s">
        <v>1096</v>
      </c>
      <c r="D6" t="s">
        <v>1096</v>
      </c>
      <c r="E6" t="s">
        <v>1096</v>
      </c>
      <c r="F6" t="s">
        <v>1096</v>
      </c>
      <c r="G6" t="s">
        <v>1097</v>
      </c>
      <c r="H6" t="s">
        <v>1098</v>
      </c>
      <c r="I6" t="s">
        <v>1099</v>
      </c>
      <c r="J6" t="s">
        <v>1100</v>
      </c>
      <c r="K6" t="s">
        <v>1101</v>
      </c>
      <c r="L6" t="s">
        <v>1102</v>
      </c>
      <c r="M6" t="s">
        <v>1103</v>
      </c>
      <c r="N6" t="s">
        <v>1104</v>
      </c>
      <c r="O6" t="s">
        <v>1105</v>
      </c>
      <c r="P6" t="s">
        <v>1106</v>
      </c>
      <c r="Q6" t="s">
        <v>1107</v>
      </c>
      <c r="R6" t="s">
        <v>1108</v>
      </c>
      <c r="S6" t="s">
        <v>1109</v>
      </c>
      <c r="T6" t="s">
        <v>1110</v>
      </c>
      <c r="U6" t="s">
        <v>1111</v>
      </c>
      <c r="V6" t="s">
        <v>1112</v>
      </c>
      <c r="W6" t="s">
        <v>1113</v>
      </c>
      <c r="X6" t="s">
        <v>1114</v>
      </c>
      <c r="Y6" t="s">
        <v>1115</v>
      </c>
      <c r="Z6" t="s">
        <v>1116</v>
      </c>
      <c r="AA6" t="s">
        <v>1117</v>
      </c>
      <c r="AB6" t="s">
        <v>1118</v>
      </c>
      <c r="AC6" t="s">
        <v>1119</v>
      </c>
      <c r="AD6" t="s">
        <v>1120</v>
      </c>
      <c r="AE6" t="s">
        <v>1121</v>
      </c>
      <c r="AF6" t="s">
        <v>1122</v>
      </c>
      <c r="AG6" t="s">
        <v>1123</v>
      </c>
      <c r="AH6" t="s">
        <v>1124</v>
      </c>
      <c r="AI6" t="s">
        <v>1125</v>
      </c>
      <c r="AJ6" t="s">
        <v>1126</v>
      </c>
      <c r="AK6" t="s">
        <v>1127</v>
      </c>
      <c r="AL6" t="s">
        <v>1128</v>
      </c>
      <c r="AM6" t="s">
        <v>1129</v>
      </c>
      <c r="AN6" t="s">
        <v>1130</v>
      </c>
      <c r="AO6" t="s">
        <v>1131</v>
      </c>
      <c r="AP6" t="s">
        <v>1132</v>
      </c>
      <c r="AQ6" t="s">
        <v>1133</v>
      </c>
      <c r="AR6" t="s">
        <v>1134</v>
      </c>
      <c r="AS6" t="s">
        <v>1135</v>
      </c>
      <c r="AT6" t="s">
        <v>1136</v>
      </c>
      <c r="AU6" t="s">
        <v>1137</v>
      </c>
      <c r="AV6" t="s">
        <v>1138</v>
      </c>
      <c r="AW6" t="s">
        <v>1139</v>
      </c>
      <c r="AX6" t="s">
        <v>1140</v>
      </c>
      <c r="AY6" t="s">
        <v>1141</v>
      </c>
      <c r="AZ6" t="s">
        <v>1142</v>
      </c>
      <c r="BA6" t="s">
        <v>1143</v>
      </c>
      <c r="BB6" t="s">
        <v>1144</v>
      </c>
      <c r="BC6" t="s">
        <v>1145</v>
      </c>
      <c r="BD6" t="s">
        <v>1146</v>
      </c>
      <c r="BE6" t="s">
        <v>1147</v>
      </c>
      <c r="BF6" t="s">
        <v>1148</v>
      </c>
      <c r="BG6" t="s">
        <v>1149</v>
      </c>
      <c r="BH6" t="s">
        <v>1150</v>
      </c>
      <c r="BI6" t="s">
        <v>1151</v>
      </c>
      <c r="BJ6" t="s">
        <v>1152</v>
      </c>
      <c r="BK6" t="s">
        <v>1153</v>
      </c>
      <c r="BL6" t="s">
        <v>1154</v>
      </c>
      <c r="BM6" t="s">
        <v>1155</v>
      </c>
      <c r="BN6" t="s">
        <v>1156</v>
      </c>
      <c r="BO6" t="s">
        <v>1157</v>
      </c>
      <c r="BP6" t="s">
        <v>1158</v>
      </c>
      <c r="BQ6" t="s">
        <v>1159</v>
      </c>
      <c r="BR6" t="s">
        <v>1160</v>
      </c>
      <c r="BS6" t="s">
        <v>1161</v>
      </c>
      <c r="BT6" t="s">
        <v>1162</v>
      </c>
      <c r="BU6" t="s">
        <v>1163</v>
      </c>
      <c r="BV6" t="s">
        <v>1164</v>
      </c>
      <c r="BW6" t="s">
        <v>1165</v>
      </c>
      <c r="BX6" t="s">
        <v>1166</v>
      </c>
      <c r="BY6" t="s">
        <v>1167</v>
      </c>
      <c r="BZ6" t="s">
        <v>1168</v>
      </c>
      <c r="CA6" t="s">
        <v>1169</v>
      </c>
      <c r="CB6" t="s">
        <v>1170</v>
      </c>
      <c r="CC6" t="s">
        <v>1171</v>
      </c>
      <c r="CD6" t="s">
        <v>1172</v>
      </c>
      <c r="CE6" t="s">
        <v>1173</v>
      </c>
      <c r="CF6" t="s">
        <v>1174</v>
      </c>
      <c r="CG6" t="s">
        <v>1175</v>
      </c>
      <c r="CH6" t="s">
        <v>1176</v>
      </c>
      <c r="CI6" t="s">
        <v>1177</v>
      </c>
      <c r="CJ6" t="s">
        <v>1178</v>
      </c>
      <c r="CK6" t="s">
        <v>1179</v>
      </c>
      <c r="CL6" t="s">
        <v>1180</v>
      </c>
      <c r="CM6" t="s">
        <v>1181</v>
      </c>
      <c r="CN6" t="s">
        <v>1182</v>
      </c>
      <c r="CO6" t="s">
        <v>1183</v>
      </c>
      <c r="CP6" t="s">
        <v>1184</v>
      </c>
      <c r="CQ6" t="s">
        <v>1185</v>
      </c>
      <c r="CR6" t="s">
        <v>1186</v>
      </c>
      <c r="CS6" t="s">
        <v>1187</v>
      </c>
      <c r="CT6" t="s">
        <v>1188</v>
      </c>
      <c r="CU6" t="s">
        <v>1189</v>
      </c>
      <c r="CV6" t="s">
        <v>1190</v>
      </c>
    </row>
    <row r="7" spans="1:100" x14ac:dyDescent="0.3">
      <c r="A7" t="s">
        <v>1288</v>
      </c>
      <c r="B7" t="s">
        <v>1298</v>
      </c>
      <c r="C7" t="s">
        <v>1298</v>
      </c>
      <c r="D7" t="s">
        <v>1298</v>
      </c>
      <c r="E7" t="s">
        <v>1298</v>
      </c>
      <c r="F7" t="s">
        <v>1298</v>
      </c>
      <c r="G7" t="s">
        <v>1305</v>
      </c>
      <c r="H7" t="s">
        <v>1312</v>
      </c>
      <c r="I7" t="s">
        <v>1319</v>
      </c>
      <c r="J7" t="s">
        <v>1326</v>
      </c>
      <c r="K7" t="s">
        <v>1333</v>
      </c>
      <c r="L7" t="s">
        <v>1340</v>
      </c>
      <c r="M7" t="s">
        <v>1347</v>
      </c>
      <c r="N7" t="s">
        <v>1354</v>
      </c>
      <c r="O7" t="s">
        <v>1361</v>
      </c>
      <c r="P7" t="s">
        <v>1368</v>
      </c>
      <c r="Q7" t="s">
        <v>1375</v>
      </c>
      <c r="R7" t="s">
        <v>1382</v>
      </c>
      <c r="S7" t="s">
        <v>1389</v>
      </c>
      <c r="T7" t="s">
        <v>1396</v>
      </c>
      <c r="U7" t="s">
        <v>1403</v>
      </c>
      <c r="V7" t="s">
        <v>1410</v>
      </c>
      <c r="W7" t="s">
        <v>1417</v>
      </c>
      <c r="X7" t="s">
        <v>1424</v>
      </c>
      <c r="Y7" t="s">
        <v>1431</v>
      </c>
      <c r="Z7" t="s">
        <v>1438</v>
      </c>
      <c r="AA7" t="s">
        <v>1445</v>
      </c>
      <c r="AB7" t="s">
        <v>1452</v>
      </c>
      <c r="AC7" t="s">
        <v>1459</v>
      </c>
      <c r="AD7" t="s">
        <v>1466</v>
      </c>
      <c r="AE7" t="s">
        <v>1473</v>
      </c>
      <c r="AF7" t="s">
        <v>1480</v>
      </c>
      <c r="AG7" t="s">
        <v>1487</v>
      </c>
      <c r="AH7" t="s">
        <v>1494</v>
      </c>
      <c r="AI7" t="s">
        <v>1501</v>
      </c>
      <c r="AJ7" t="s">
        <v>1508</v>
      </c>
      <c r="AK7" t="s">
        <v>1515</v>
      </c>
      <c r="AL7" t="s">
        <v>1522</v>
      </c>
      <c r="AM7" t="s">
        <v>1529</v>
      </c>
      <c r="AN7" t="s">
        <v>1536</v>
      </c>
      <c r="AO7" t="s">
        <v>1543</v>
      </c>
      <c r="AP7" t="s">
        <v>1550</v>
      </c>
      <c r="AQ7" t="s">
        <v>1557</v>
      </c>
      <c r="AR7" t="s">
        <v>1564</v>
      </c>
      <c r="AS7" t="s">
        <v>1571</v>
      </c>
      <c r="AT7" t="s">
        <v>1578</v>
      </c>
      <c r="AU7" t="s">
        <v>1585</v>
      </c>
      <c r="AV7" t="s">
        <v>1592</v>
      </c>
      <c r="AW7" t="s">
        <v>1599</v>
      </c>
      <c r="AX7" t="s">
        <v>1606</v>
      </c>
      <c r="AY7" t="s">
        <v>1613</v>
      </c>
      <c r="AZ7" t="s">
        <v>1620</v>
      </c>
      <c r="BA7" t="s">
        <v>1627</v>
      </c>
      <c r="BB7" t="s">
        <v>1634</v>
      </c>
      <c r="BC7" t="s">
        <v>1641</v>
      </c>
      <c r="BD7" t="s">
        <v>1648</v>
      </c>
      <c r="BE7" t="s">
        <v>1655</v>
      </c>
      <c r="BF7" t="s">
        <v>1662</v>
      </c>
      <c r="BG7" t="s">
        <v>1669</v>
      </c>
      <c r="BH7" t="s">
        <v>1676</v>
      </c>
      <c r="BI7" t="s">
        <v>1683</v>
      </c>
      <c r="BJ7" t="s">
        <v>1690</v>
      </c>
      <c r="BK7" t="s">
        <v>1697</v>
      </c>
      <c r="BL7" t="s">
        <v>1704</v>
      </c>
      <c r="BM7" t="s">
        <v>1711</v>
      </c>
      <c r="BN7" t="s">
        <v>1718</v>
      </c>
      <c r="BO7" t="s">
        <v>1725</v>
      </c>
      <c r="BP7" t="s">
        <v>1732</v>
      </c>
      <c r="BQ7" t="s">
        <v>1739</v>
      </c>
      <c r="BR7" t="s">
        <v>1746</v>
      </c>
      <c r="BS7" t="s">
        <v>1753</v>
      </c>
      <c r="BT7" t="s">
        <v>1760</v>
      </c>
      <c r="BU7" t="s">
        <v>1767</v>
      </c>
      <c r="BV7" t="s">
        <v>1774</v>
      </c>
      <c r="BW7" t="s">
        <v>1781</v>
      </c>
      <c r="BX7" t="s">
        <v>1788</v>
      </c>
      <c r="BY7" t="s">
        <v>1795</v>
      </c>
      <c r="BZ7" t="s">
        <v>1801</v>
      </c>
      <c r="CA7" t="s">
        <v>1807</v>
      </c>
      <c r="CB7" t="s">
        <v>1814</v>
      </c>
      <c r="CC7" t="s">
        <v>1821</v>
      </c>
      <c r="CD7" t="s">
        <v>1827</v>
      </c>
      <c r="CE7" t="s">
        <v>1834</v>
      </c>
      <c r="CF7" t="s">
        <v>1841</v>
      </c>
      <c r="CG7" t="s">
        <v>1847</v>
      </c>
      <c r="CH7" t="s">
        <v>1853</v>
      </c>
      <c r="CI7" t="s">
        <v>1859</v>
      </c>
      <c r="CJ7" t="s">
        <v>1866</v>
      </c>
      <c r="CK7" t="s">
        <v>1872</v>
      </c>
      <c r="CL7" t="s">
        <v>1878</v>
      </c>
      <c r="CM7" t="s">
        <v>1885</v>
      </c>
      <c r="CN7" t="s">
        <v>1892</v>
      </c>
      <c r="CO7" t="s">
        <v>1899</v>
      </c>
      <c r="CP7" t="s">
        <v>1906</v>
      </c>
      <c r="CQ7" t="s">
        <v>1913</v>
      </c>
      <c r="CR7" t="s">
        <v>1920</v>
      </c>
      <c r="CS7" t="s">
        <v>1927</v>
      </c>
      <c r="CT7" t="s">
        <v>1934</v>
      </c>
      <c r="CU7" t="s">
        <v>1941</v>
      </c>
      <c r="CV7" t="s">
        <v>1948</v>
      </c>
    </row>
    <row r="8" spans="1:100" x14ac:dyDescent="0.3">
      <c r="A8" t="s">
        <v>1000</v>
      </c>
      <c r="B8">
        <f>($E$7-B7)*10</f>
        <v>0</v>
      </c>
      <c r="C8">
        <f t="shared" ref="C8:BN8" si="0">($E$7-C7)*10</f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1.9538999999999618</v>
      </c>
      <c r="H8">
        <f t="shared" si="0"/>
        <v>3.9051999999999509</v>
      </c>
      <c r="I8">
        <f t="shared" si="0"/>
        <v>5.8558999999999628</v>
      </c>
      <c r="J8">
        <f t="shared" si="0"/>
        <v>7.8061999999999898</v>
      </c>
      <c r="K8">
        <f t="shared" si="0"/>
        <v>9.7558999999999685</v>
      </c>
      <c r="L8">
        <f t="shared" si="0"/>
        <v>11.70499999999997</v>
      </c>
      <c r="M8">
        <f t="shared" si="0"/>
        <v>13.653599999999955</v>
      </c>
      <c r="N8">
        <f t="shared" si="0"/>
        <v>15.601599999999962</v>
      </c>
      <c r="O8">
        <f t="shared" si="0"/>
        <v>17.548999999999992</v>
      </c>
      <c r="P8">
        <f t="shared" si="0"/>
        <v>19.495900000000006</v>
      </c>
      <c r="Q8">
        <f t="shared" si="0"/>
        <v>21.442100000000011</v>
      </c>
      <c r="R8">
        <f t="shared" si="0"/>
        <v>23.387799999999999</v>
      </c>
      <c r="S8">
        <f t="shared" si="0"/>
        <v>25.332799999999978</v>
      </c>
      <c r="T8">
        <f t="shared" si="0"/>
        <v>27.277199999999979</v>
      </c>
      <c r="U8">
        <f t="shared" si="0"/>
        <v>29.221000000000004</v>
      </c>
      <c r="V8">
        <f t="shared" si="0"/>
        <v>31.164099999999948</v>
      </c>
      <c r="W8">
        <f t="shared" si="0"/>
        <v>33.106599999999986</v>
      </c>
      <c r="X8">
        <f t="shared" si="0"/>
        <v>35.048399999999944</v>
      </c>
      <c r="Y8">
        <f t="shared" si="0"/>
        <v>36.989499999999964</v>
      </c>
      <c r="Z8">
        <f t="shared" si="0"/>
        <v>38.930000000000007</v>
      </c>
      <c r="AA8">
        <f t="shared" si="0"/>
        <v>40.869700000000009</v>
      </c>
      <c r="AB8">
        <f t="shared" si="0"/>
        <v>42.808700000000002</v>
      </c>
      <c r="AC8">
        <f t="shared" si="0"/>
        <v>44.746999999999986</v>
      </c>
      <c r="AD8">
        <f t="shared" si="0"/>
        <v>46.684599999999961</v>
      </c>
      <c r="AE8">
        <f t="shared" si="0"/>
        <v>48.621300000000005</v>
      </c>
      <c r="AF8">
        <f t="shared" si="0"/>
        <v>50.557400000000001</v>
      </c>
      <c r="AG8">
        <f t="shared" si="0"/>
        <v>52.492599999999996</v>
      </c>
      <c r="AH8">
        <f t="shared" si="0"/>
        <v>54.426999999999985</v>
      </c>
      <c r="AI8">
        <f t="shared" si="0"/>
        <v>56.36059999999997</v>
      </c>
      <c r="AJ8">
        <f t="shared" si="0"/>
        <v>58.293399999999984</v>
      </c>
      <c r="AK8">
        <f t="shared" si="0"/>
        <v>60.225399999999993</v>
      </c>
      <c r="AL8">
        <f t="shared" si="0"/>
        <v>62.156499999999966</v>
      </c>
      <c r="AM8">
        <f t="shared" si="0"/>
        <v>64.086699999999979</v>
      </c>
      <c r="AN8">
        <f t="shared" si="0"/>
        <v>66.015999999999977</v>
      </c>
      <c r="AO8">
        <f t="shared" si="0"/>
        <v>67.944499999999977</v>
      </c>
      <c r="AP8">
        <f t="shared" si="0"/>
        <v>69.871899999999982</v>
      </c>
      <c r="AQ8">
        <f t="shared" si="0"/>
        <v>71.79849999999999</v>
      </c>
      <c r="AR8">
        <f t="shared" si="0"/>
        <v>73.724099999999993</v>
      </c>
      <c r="AS8">
        <f t="shared" si="0"/>
        <v>75.648699999999991</v>
      </c>
      <c r="AT8">
        <f t="shared" si="0"/>
        <v>77.572399999999988</v>
      </c>
      <c r="AU8">
        <f t="shared" si="0"/>
        <v>79.494999999999976</v>
      </c>
      <c r="AV8">
        <f t="shared" si="0"/>
        <v>81.416599999999988</v>
      </c>
      <c r="AW8">
        <f t="shared" si="0"/>
        <v>83.337099999999964</v>
      </c>
      <c r="AX8">
        <f t="shared" si="0"/>
        <v>85.256499999999988</v>
      </c>
      <c r="AY8">
        <f t="shared" si="0"/>
        <v>87.17489999999998</v>
      </c>
      <c r="AZ8">
        <f t="shared" si="0"/>
        <v>89.092099999999988</v>
      </c>
      <c r="BA8">
        <f t="shared" si="0"/>
        <v>91.008099999999985</v>
      </c>
      <c r="BB8">
        <f t="shared" si="0"/>
        <v>92.922999999999973</v>
      </c>
      <c r="BC8">
        <f t="shared" si="0"/>
        <v>94.836699999999965</v>
      </c>
      <c r="BD8">
        <f t="shared" si="0"/>
        <v>96.749199999999973</v>
      </c>
      <c r="BE8">
        <f t="shared" si="0"/>
        <v>98.660499999999985</v>
      </c>
      <c r="BF8">
        <f t="shared" si="0"/>
        <v>100.57049999999997</v>
      </c>
      <c r="BG8">
        <f t="shared" si="0"/>
        <v>102.47909999999997</v>
      </c>
      <c r="BH8">
        <f t="shared" si="0"/>
        <v>104.38649999999998</v>
      </c>
      <c r="BI8">
        <f t="shared" si="0"/>
        <v>106.29249999999999</v>
      </c>
      <c r="BJ8">
        <f t="shared" si="0"/>
        <v>108.19709999999998</v>
      </c>
      <c r="BK8">
        <f t="shared" si="0"/>
        <v>110.10039999999996</v>
      </c>
      <c r="BL8">
        <f t="shared" si="0"/>
        <v>112.00219999999999</v>
      </c>
      <c r="BM8">
        <f t="shared" si="0"/>
        <v>113.90249999999997</v>
      </c>
      <c r="BN8">
        <f t="shared" si="0"/>
        <v>115.80129999999997</v>
      </c>
      <c r="BO8">
        <f t="shared" ref="BO8:CV8" si="1">($E$7-BO7)*10</f>
        <v>117.69849999999998</v>
      </c>
      <c r="BP8">
        <f t="shared" si="1"/>
        <v>119.59419999999997</v>
      </c>
      <c r="BQ8">
        <f t="shared" si="1"/>
        <v>121.48839999999996</v>
      </c>
      <c r="BR8">
        <f t="shared" si="1"/>
        <v>123.38079999999998</v>
      </c>
      <c r="BS8">
        <f t="shared" si="1"/>
        <v>125.27149999999999</v>
      </c>
      <c r="BT8">
        <f t="shared" si="1"/>
        <v>127.16059999999999</v>
      </c>
      <c r="BU8">
        <f t="shared" si="1"/>
        <v>129.04789999999997</v>
      </c>
      <c r="BV8">
        <f t="shared" si="1"/>
        <v>130.93339999999998</v>
      </c>
      <c r="BW8">
        <f t="shared" si="1"/>
        <v>132.81699999999998</v>
      </c>
      <c r="BX8">
        <f t="shared" si="1"/>
        <v>134.69879999999995</v>
      </c>
      <c r="BY8">
        <f t="shared" si="1"/>
        <v>136.57859999999999</v>
      </c>
      <c r="BZ8">
        <f t="shared" si="1"/>
        <v>138.4564</v>
      </c>
      <c r="CA8">
        <f t="shared" si="1"/>
        <v>140.33229999999998</v>
      </c>
      <c r="CB8">
        <f t="shared" si="1"/>
        <v>142.20599999999996</v>
      </c>
      <c r="CC8">
        <f t="shared" si="1"/>
        <v>144.07769999999999</v>
      </c>
      <c r="CD8">
        <f t="shared" si="1"/>
        <v>145.94709999999998</v>
      </c>
      <c r="CE8">
        <f t="shared" si="1"/>
        <v>147.81429999999997</v>
      </c>
      <c r="CF8">
        <f t="shared" si="1"/>
        <v>149.67929999999998</v>
      </c>
      <c r="CG8">
        <f t="shared" si="1"/>
        <v>151.54189999999997</v>
      </c>
      <c r="CH8">
        <f t="shared" si="1"/>
        <v>153.40209999999999</v>
      </c>
      <c r="CI8">
        <f t="shared" si="1"/>
        <v>155.25979999999998</v>
      </c>
      <c r="CJ8">
        <f t="shared" si="1"/>
        <v>157.11499999999998</v>
      </c>
      <c r="CK8">
        <f t="shared" si="1"/>
        <v>158.96759999999998</v>
      </c>
      <c r="CL8">
        <f t="shared" si="1"/>
        <v>160.8176</v>
      </c>
      <c r="CM8">
        <f t="shared" si="1"/>
        <v>162.66479999999999</v>
      </c>
      <c r="CN8">
        <f t="shared" si="1"/>
        <v>164.50919999999996</v>
      </c>
      <c r="CO8">
        <f t="shared" si="1"/>
        <v>166.35069999999999</v>
      </c>
      <c r="CP8">
        <f t="shared" si="1"/>
        <v>168.18929999999997</v>
      </c>
      <c r="CQ8">
        <f t="shared" si="1"/>
        <v>170.02489999999997</v>
      </c>
      <c r="CR8">
        <f t="shared" si="1"/>
        <v>171.85739999999998</v>
      </c>
      <c r="CS8">
        <f t="shared" si="1"/>
        <v>173.6866</v>
      </c>
      <c r="CT8">
        <f t="shared" si="1"/>
        <v>175.51259999999999</v>
      </c>
      <c r="CU8">
        <f t="shared" si="1"/>
        <v>177.33519999999999</v>
      </c>
      <c r="CV8">
        <f t="shared" si="1"/>
        <v>179.15429999999998</v>
      </c>
    </row>
    <row r="9" spans="1:100" x14ac:dyDescent="0.3">
      <c r="A9">
        <f>A2/10</f>
        <v>0</v>
      </c>
      <c r="B9">
        <f>B2*1</f>
        <v>0</v>
      </c>
      <c r="C9">
        <f t="shared" ref="C9:BN9" si="2">C2*1</f>
        <v>0</v>
      </c>
      <c r="D9">
        <f t="shared" si="2"/>
        <v>0</v>
      </c>
      <c r="E9">
        <f t="shared" si="2"/>
        <v>0</v>
      </c>
      <c r="F9">
        <f t="shared" si="2"/>
        <v>2</v>
      </c>
      <c r="G9">
        <f t="shared" si="2"/>
        <v>4</v>
      </c>
      <c r="H9">
        <f t="shared" si="2"/>
        <v>6</v>
      </c>
      <c r="I9">
        <f t="shared" si="2"/>
        <v>8</v>
      </c>
      <c r="J9">
        <f t="shared" si="2"/>
        <v>10</v>
      </c>
      <c r="K9">
        <f t="shared" si="2"/>
        <v>12</v>
      </c>
      <c r="L9">
        <f t="shared" si="2"/>
        <v>14</v>
      </c>
      <c r="M9">
        <f t="shared" si="2"/>
        <v>16</v>
      </c>
      <c r="N9">
        <f t="shared" si="2"/>
        <v>18</v>
      </c>
      <c r="O9">
        <f t="shared" si="2"/>
        <v>20</v>
      </c>
      <c r="P9">
        <f t="shared" si="2"/>
        <v>22</v>
      </c>
      <c r="Q9">
        <f t="shared" si="2"/>
        <v>24</v>
      </c>
      <c r="R9">
        <f t="shared" si="2"/>
        <v>26</v>
      </c>
      <c r="S9">
        <f t="shared" si="2"/>
        <v>28</v>
      </c>
      <c r="T9">
        <f t="shared" si="2"/>
        <v>30</v>
      </c>
      <c r="U9">
        <f t="shared" si="2"/>
        <v>32</v>
      </c>
      <c r="V9">
        <f t="shared" si="2"/>
        <v>34</v>
      </c>
      <c r="W9">
        <f t="shared" si="2"/>
        <v>36</v>
      </c>
      <c r="X9">
        <f t="shared" si="2"/>
        <v>38</v>
      </c>
      <c r="Y9">
        <f t="shared" si="2"/>
        <v>40</v>
      </c>
      <c r="Z9">
        <f t="shared" si="2"/>
        <v>42</v>
      </c>
      <c r="AA9">
        <f t="shared" si="2"/>
        <v>44</v>
      </c>
      <c r="AB9">
        <f t="shared" si="2"/>
        <v>46</v>
      </c>
      <c r="AC9">
        <f t="shared" si="2"/>
        <v>48</v>
      </c>
      <c r="AD9">
        <f t="shared" si="2"/>
        <v>50</v>
      </c>
      <c r="AE9">
        <f t="shared" si="2"/>
        <v>52</v>
      </c>
      <c r="AF9">
        <f t="shared" si="2"/>
        <v>54</v>
      </c>
      <c r="AG9">
        <f t="shared" si="2"/>
        <v>56</v>
      </c>
      <c r="AH9">
        <f t="shared" si="2"/>
        <v>58</v>
      </c>
      <c r="AI9">
        <f t="shared" si="2"/>
        <v>60</v>
      </c>
      <c r="AJ9">
        <f t="shared" si="2"/>
        <v>62</v>
      </c>
      <c r="AK9">
        <f t="shared" si="2"/>
        <v>64</v>
      </c>
      <c r="AL9">
        <f t="shared" si="2"/>
        <v>66</v>
      </c>
      <c r="AM9">
        <f t="shared" si="2"/>
        <v>68</v>
      </c>
      <c r="AN9">
        <f t="shared" si="2"/>
        <v>70</v>
      </c>
      <c r="AO9">
        <f t="shared" si="2"/>
        <v>72</v>
      </c>
      <c r="AP9">
        <f t="shared" si="2"/>
        <v>74</v>
      </c>
      <c r="AQ9">
        <f t="shared" si="2"/>
        <v>76</v>
      </c>
      <c r="AR9">
        <f t="shared" si="2"/>
        <v>78</v>
      </c>
      <c r="AS9">
        <f t="shared" si="2"/>
        <v>80</v>
      </c>
      <c r="AT9">
        <f t="shared" si="2"/>
        <v>82</v>
      </c>
      <c r="AU9">
        <f t="shared" si="2"/>
        <v>84</v>
      </c>
      <c r="AV9">
        <f t="shared" si="2"/>
        <v>86</v>
      </c>
      <c r="AW9">
        <f t="shared" si="2"/>
        <v>88</v>
      </c>
      <c r="AX9">
        <f t="shared" si="2"/>
        <v>90</v>
      </c>
      <c r="AY9">
        <f t="shared" si="2"/>
        <v>92</v>
      </c>
      <c r="AZ9">
        <f t="shared" si="2"/>
        <v>94</v>
      </c>
      <c r="BA9">
        <f t="shared" si="2"/>
        <v>96</v>
      </c>
      <c r="BB9">
        <f t="shared" si="2"/>
        <v>98</v>
      </c>
      <c r="BC9">
        <f t="shared" si="2"/>
        <v>100</v>
      </c>
      <c r="BD9">
        <f t="shared" si="2"/>
        <v>102</v>
      </c>
      <c r="BE9">
        <f t="shared" si="2"/>
        <v>104</v>
      </c>
      <c r="BF9">
        <f t="shared" si="2"/>
        <v>106</v>
      </c>
      <c r="BG9">
        <f t="shared" si="2"/>
        <v>108</v>
      </c>
      <c r="BH9">
        <f t="shared" si="2"/>
        <v>110</v>
      </c>
      <c r="BI9">
        <f t="shared" si="2"/>
        <v>112</v>
      </c>
      <c r="BJ9">
        <f t="shared" si="2"/>
        <v>114</v>
      </c>
      <c r="BK9">
        <f t="shared" si="2"/>
        <v>116</v>
      </c>
      <c r="BL9">
        <f t="shared" si="2"/>
        <v>118</v>
      </c>
      <c r="BM9">
        <f t="shared" si="2"/>
        <v>120</v>
      </c>
      <c r="BN9">
        <f t="shared" si="2"/>
        <v>122</v>
      </c>
      <c r="BO9">
        <f t="shared" ref="BO9:CV9" si="3">BO2*1</f>
        <v>124</v>
      </c>
      <c r="BP9">
        <f t="shared" si="3"/>
        <v>126</v>
      </c>
      <c r="BQ9">
        <f t="shared" si="3"/>
        <v>128</v>
      </c>
      <c r="BR9">
        <f t="shared" si="3"/>
        <v>130</v>
      </c>
      <c r="BS9">
        <f t="shared" si="3"/>
        <v>132</v>
      </c>
      <c r="BT9">
        <f t="shared" si="3"/>
        <v>134</v>
      </c>
      <c r="BU9">
        <f t="shared" si="3"/>
        <v>136</v>
      </c>
      <c r="BV9">
        <f t="shared" si="3"/>
        <v>138</v>
      </c>
      <c r="BW9">
        <f t="shared" si="3"/>
        <v>140</v>
      </c>
      <c r="BX9">
        <f t="shared" si="3"/>
        <v>142</v>
      </c>
      <c r="BY9">
        <f t="shared" si="3"/>
        <v>144</v>
      </c>
      <c r="BZ9">
        <f t="shared" si="3"/>
        <v>146</v>
      </c>
      <c r="CA9">
        <f t="shared" si="3"/>
        <v>148</v>
      </c>
      <c r="CB9">
        <f t="shared" si="3"/>
        <v>150</v>
      </c>
      <c r="CC9">
        <f t="shared" si="3"/>
        <v>152</v>
      </c>
      <c r="CD9">
        <f t="shared" si="3"/>
        <v>154</v>
      </c>
      <c r="CE9">
        <f t="shared" si="3"/>
        <v>156</v>
      </c>
      <c r="CF9">
        <f t="shared" si="3"/>
        <v>158</v>
      </c>
      <c r="CG9">
        <f t="shared" si="3"/>
        <v>160</v>
      </c>
      <c r="CH9">
        <f t="shared" si="3"/>
        <v>162</v>
      </c>
      <c r="CI9">
        <f t="shared" si="3"/>
        <v>164</v>
      </c>
      <c r="CJ9">
        <f t="shared" si="3"/>
        <v>166</v>
      </c>
      <c r="CK9">
        <f t="shared" si="3"/>
        <v>168</v>
      </c>
      <c r="CL9">
        <f t="shared" si="3"/>
        <v>170</v>
      </c>
      <c r="CM9">
        <f t="shared" si="3"/>
        <v>172</v>
      </c>
      <c r="CN9">
        <f t="shared" si="3"/>
        <v>174</v>
      </c>
      <c r="CO9">
        <f t="shared" si="3"/>
        <v>176</v>
      </c>
      <c r="CP9">
        <f t="shared" si="3"/>
        <v>178</v>
      </c>
      <c r="CQ9">
        <f t="shared" si="3"/>
        <v>180</v>
      </c>
      <c r="CR9">
        <f t="shared" si="3"/>
        <v>182</v>
      </c>
      <c r="CS9">
        <f t="shared" si="3"/>
        <v>184</v>
      </c>
      <c r="CT9">
        <f t="shared" si="3"/>
        <v>186</v>
      </c>
      <c r="CU9">
        <f t="shared" si="3"/>
        <v>188</v>
      </c>
      <c r="CV9">
        <f t="shared" si="3"/>
        <v>190</v>
      </c>
    </row>
    <row r="11" spans="1:100" x14ac:dyDescent="0.3">
      <c r="D11">
        <f>D3*1</f>
        <v>375.9973</v>
      </c>
      <c r="E11">
        <f t="shared" ref="E11:BP12" si="4">E3*1</f>
        <v>375.9973</v>
      </c>
      <c r="F11">
        <f t="shared" si="4"/>
        <v>375.9973</v>
      </c>
      <c r="G11">
        <f t="shared" si="4"/>
        <v>374.05619999999999</v>
      </c>
      <c r="H11">
        <f t="shared" si="4"/>
        <v>372.11559999999997</v>
      </c>
      <c r="I11">
        <f t="shared" si="4"/>
        <v>370.17559999999997</v>
      </c>
      <c r="J11">
        <f t="shared" si="4"/>
        <v>368.23630000000003</v>
      </c>
      <c r="K11">
        <f t="shared" si="4"/>
        <v>366.29770000000002</v>
      </c>
      <c r="L11">
        <f t="shared" si="4"/>
        <v>364.35969999999998</v>
      </c>
      <c r="M11">
        <f t="shared" si="4"/>
        <v>362.42239999999998</v>
      </c>
      <c r="N11">
        <f t="shared" si="4"/>
        <v>360.48579999999998</v>
      </c>
      <c r="O11">
        <f t="shared" si="4"/>
        <v>358.54989999999998</v>
      </c>
      <c r="P11">
        <f t="shared" si="4"/>
        <v>356.6146</v>
      </c>
      <c r="Q11">
        <f t="shared" si="4"/>
        <v>354.68009999999998</v>
      </c>
      <c r="R11">
        <f t="shared" si="4"/>
        <v>352.74639999999999</v>
      </c>
      <c r="S11">
        <f t="shared" si="4"/>
        <v>350.8134</v>
      </c>
      <c r="T11">
        <f t="shared" si="4"/>
        <v>348.8811</v>
      </c>
      <c r="U11">
        <f t="shared" si="4"/>
        <v>346.94959999999998</v>
      </c>
      <c r="V11">
        <f t="shared" si="4"/>
        <v>345.0188</v>
      </c>
      <c r="W11">
        <f t="shared" si="4"/>
        <v>343.08890000000002</v>
      </c>
      <c r="X11">
        <f t="shared" si="4"/>
        <v>341.15980000000002</v>
      </c>
      <c r="Y11">
        <f t="shared" si="4"/>
        <v>339.23149999999998</v>
      </c>
      <c r="Z11">
        <f t="shared" si="4"/>
        <v>337.30399999999997</v>
      </c>
      <c r="AA11">
        <f t="shared" si="4"/>
        <v>335.37740000000002</v>
      </c>
      <c r="AB11">
        <f t="shared" si="4"/>
        <v>333.45170000000002</v>
      </c>
      <c r="AC11">
        <f t="shared" si="4"/>
        <v>331.52679999999998</v>
      </c>
      <c r="AD11">
        <f t="shared" si="4"/>
        <v>329.6028</v>
      </c>
      <c r="AE11">
        <f t="shared" si="4"/>
        <v>327.67970000000003</v>
      </c>
      <c r="AF11">
        <f t="shared" si="4"/>
        <v>325.75760000000002</v>
      </c>
      <c r="AG11">
        <f t="shared" si="4"/>
        <v>323.83640000000003</v>
      </c>
      <c r="AH11">
        <f t="shared" si="4"/>
        <v>321.91609999999997</v>
      </c>
      <c r="AI11">
        <f t="shared" si="4"/>
        <v>319.99689999999998</v>
      </c>
      <c r="AJ11">
        <f t="shared" si="4"/>
        <v>318.07859999999999</v>
      </c>
      <c r="AK11">
        <f t="shared" si="4"/>
        <v>316.16129999999998</v>
      </c>
      <c r="AL11">
        <f t="shared" si="4"/>
        <v>314.24509999999998</v>
      </c>
      <c r="AM11">
        <f t="shared" si="4"/>
        <v>312.33</v>
      </c>
      <c r="AN11">
        <f t="shared" si="4"/>
        <v>310.41590000000002</v>
      </c>
      <c r="AO11">
        <f t="shared" si="4"/>
        <v>308.50279999999998</v>
      </c>
      <c r="AP11">
        <f t="shared" si="4"/>
        <v>306.59089999999998</v>
      </c>
      <c r="AQ11">
        <f t="shared" si="4"/>
        <v>304.68009999999998</v>
      </c>
      <c r="AR11">
        <f t="shared" si="4"/>
        <v>302.77050000000003</v>
      </c>
      <c r="AS11">
        <f t="shared" si="4"/>
        <v>300.8621</v>
      </c>
      <c r="AT11">
        <f t="shared" si="4"/>
        <v>298.95479999999998</v>
      </c>
      <c r="AU11">
        <f t="shared" si="4"/>
        <v>297.04880000000003</v>
      </c>
      <c r="AV11">
        <f t="shared" si="4"/>
        <v>295.14400000000001</v>
      </c>
      <c r="AW11">
        <f t="shared" si="4"/>
        <v>293.2405</v>
      </c>
      <c r="AX11">
        <f t="shared" si="4"/>
        <v>291.3383</v>
      </c>
      <c r="AY11">
        <f t="shared" si="4"/>
        <v>289.43740000000003</v>
      </c>
      <c r="AZ11">
        <f t="shared" si="4"/>
        <v>287.5378</v>
      </c>
      <c r="BA11">
        <f t="shared" si="4"/>
        <v>285.63959999999997</v>
      </c>
      <c r="BB11">
        <f t="shared" si="4"/>
        <v>283.74279999999999</v>
      </c>
      <c r="BC11">
        <f t="shared" si="4"/>
        <v>281.84750000000003</v>
      </c>
      <c r="BD11">
        <f t="shared" si="4"/>
        <v>279.95359999999999</v>
      </c>
      <c r="BE11">
        <f t="shared" si="4"/>
        <v>278.06119999999999</v>
      </c>
      <c r="BF11">
        <f t="shared" si="4"/>
        <v>276.17020000000002</v>
      </c>
      <c r="BG11">
        <f t="shared" si="4"/>
        <v>274.28089999999997</v>
      </c>
      <c r="BH11">
        <f t="shared" si="4"/>
        <v>272.3931</v>
      </c>
      <c r="BI11">
        <f t="shared" si="4"/>
        <v>270.50689999999997</v>
      </c>
      <c r="BJ11">
        <f t="shared" si="4"/>
        <v>268.62240000000003</v>
      </c>
      <c r="BK11">
        <f t="shared" si="4"/>
        <v>266.7396</v>
      </c>
      <c r="BL11">
        <f t="shared" si="4"/>
        <v>264.85849999999999</v>
      </c>
      <c r="BM11">
        <f t="shared" si="4"/>
        <v>262.97910000000002</v>
      </c>
      <c r="BN11">
        <f t="shared" si="4"/>
        <v>261.10149999999999</v>
      </c>
      <c r="BO11">
        <f t="shared" si="4"/>
        <v>259.22579999999999</v>
      </c>
      <c r="BP11">
        <f t="shared" si="4"/>
        <v>257.3519</v>
      </c>
      <c r="BQ11">
        <f t="shared" ref="BQ11:CV14" si="5">BQ3*1</f>
        <v>255.47989999999999</v>
      </c>
      <c r="BR11">
        <f t="shared" si="5"/>
        <v>253.60990000000001</v>
      </c>
      <c r="BS11">
        <f t="shared" si="5"/>
        <v>251.74189999999999</v>
      </c>
      <c r="BT11">
        <f t="shared" si="5"/>
        <v>249.876</v>
      </c>
      <c r="BU11">
        <f t="shared" si="5"/>
        <v>248.0121</v>
      </c>
      <c r="BV11">
        <f t="shared" si="5"/>
        <v>246.15039999999999</v>
      </c>
      <c r="BW11">
        <f t="shared" si="5"/>
        <v>244.29079999999999</v>
      </c>
      <c r="BX11">
        <f t="shared" si="5"/>
        <v>242.43350000000001</v>
      </c>
      <c r="BY11">
        <f t="shared" si="5"/>
        <v>240.57849999999999</v>
      </c>
      <c r="BZ11">
        <f t="shared" si="5"/>
        <v>238.72579999999999</v>
      </c>
      <c r="CA11">
        <f t="shared" si="5"/>
        <v>236.87549999999999</v>
      </c>
      <c r="CB11">
        <f t="shared" si="5"/>
        <v>235.02770000000001</v>
      </c>
      <c r="CC11">
        <f t="shared" si="5"/>
        <v>233.1823</v>
      </c>
      <c r="CD11">
        <f t="shared" si="5"/>
        <v>231.33959999999999</v>
      </c>
      <c r="CE11">
        <f t="shared" si="5"/>
        <v>229.49950000000001</v>
      </c>
      <c r="CF11">
        <f t="shared" si="5"/>
        <v>227.66200000000001</v>
      </c>
      <c r="CG11">
        <f t="shared" si="5"/>
        <v>225.82740000000001</v>
      </c>
      <c r="CH11">
        <f t="shared" si="5"/>
        <v>223.99549999999999</v>
      </c>
      <c r="CI11">
        <f t="shared" si="5"/>
        <v>222.16659999999999</v>
      </c>
      <c r="CJ11">
        <f t="shared" si="5"/>
        <v>220.3407</v>
      </c>
      <c r="CK11">
        <f t="shared" si="5"/>
        <v>218.51769999999999</v>
      </c>
      <c r="CL11">
        <f t="shared" si="5"/>
        <v>216.69800000000001</v>
      </c>
      <c r="CM11">
        <f t="shared" si="5"/>
        <v>214.88140000000001</v>
      </c>
      <c r="CN11">
        <f t="shared" si="5"/>
        <v>213.06809999999999</v>
      </c>
      <c r="CO11">
        <f t="shared" si="5"/>
        <v>211.25810000000001</v>
      </c>
      <c r="CP11">
        <f t="shared" si="5"/>
        <v>209.45169999999999</v>
      </c>
      <c r="CQ11">
        <f t="shared" si="5"/>
        <v>207.64869999999999</v>
      </c>
      <c r="CR11">
        <f t="shared" si="5"/>
        <v>205.84950000000001</v>
      </c>
      <c r="CS11">
        <f t="shared" si="5"/>
        <v>204.0539</v>
      </c>
      <c r="CT11">
        <f t="shared" si="5"/>
        <v>202.26220000000001</v>
      </c>
      <c r="CU11">
        <f t="shared" si="5"/>
        <v>200.4744</v>
      </c>
      <c r="CV11">
        <f t="shared" si="5"/>
        <v>198.69069999999999</v>
      </c>
    </row>
    <row r="12" spans="1:100" x14ac:dyDescent="0.3">
      <c r="D12">
        <f t="shared" ref="D12:S14" si="6">D4*1</f>
        <v>379.24270000000001</v>
      </c>
      <c r="E12">
        <f t="shared" si="6"/>
        <v>379.24270000000001</v>
      </c>
      <c r="F12">
        <f t="shared" si="6"/>
        <v>379.24270000000001</v>
      </c>
      <c r="G12">
        <f t="shared" si="6"/>
        <v>377.31819999999999</v>
      </c>
      <c r="H12">
        <f t="shared" si="6"/>
        <v>375.39449999999999</v>
      </c>
      <c r="I12">
        <f t="shared" si="6"/>
        <v>373.47160000000002</v>
      </c>
      <c r="J12">
        <f t="shared" si="6"/>
        <v>371.54950000000002</v>
      </c>
      <c r="K12">
        <f t="shared" si="6"/>
        <v>369.62819999999999</v>
      </c>
      <c r="L12">
        <f t="shared" si="6"/>
        <v>367.70780000000002</v>
      </c>
      <c r="M12">
        <f t="shared" si="6"/>
        <v>365.78820000000002</v>
      </c>
      <c r="N12">
        <f t="shared" si="6"/>
        <v>363.86950000000002</v>
      </c>
      <c r="O12">
        <f t="shared" si="6"/>
        <v>361.95170000000002</v>
      </c>
      <c r="P12">
        <f t="shared" si="6"/>
        <v>360.03469999999999</v>
      </c>
      <c r="Q12">
        <f t="shared" si="6"/>
        <v>358.11869999999999</v>
      </c>
      <c r="R12">
        <f t="shared" si="6"/>
        <v>356.20359999999999</v>
      </c>
      <c r="S12">
        <f t="shared" si="6"/>
        <v>354.2894</v>
      </c>
      <c r="T12">
        <f t="shared" si="4"/>
        <v>352.37619999999998</v>
      </c>
      <c r="U12">
        <f t="shared" si="4"/>
        <v>350.464</v>
      </c>
      <c r="V12">
        <f t="shared" si="4"/>
        <v>348.55270000000002</v>
      </c>
      <c r="W12">
        <f t="shared" si="4"/>
        <v>346.64249999999998</v>
      </c>
      <c r="X12">
        <f t="shared" si="4"/>
        <v>344.73320000000001</v>
      </c>
      <c r="Y12">
        <f t="shared" si="4"/>
        <v>342.82499999999999</v>
      </c>
      <c r="Z12">
        <f t="shared" si="4"/>
        <v>340.91789999999997</v>
      </c>
      <c r="AA12">
        <f t="shared" si="4"/>
        <v>339.01179999999999</v>
      </c>
      <c r="AB12">
        <f t="shared" si="4"/>
        <v>337.10680000000002</v>
      </c>
      <c r="AC12">
        <f t="shared" si="4"/>
        <v>335.2029</v>
      </c>
      <c r="AD12">
        <f t="shared" si="4"/>
        <v>333.30020000000002</v>
      </c>
      <c r="AE12">
        <f t="shared" si="4"/>
        <v>331.39859999999999</v>
      </c>
      <c r="AF12">
        <f t="shared" si="4"/>
        <v>329.49810000000002</v>
      </c>
      <c r="AG12">
        <f t="shared" si="4"/>
        <v>327.59879999999998</v>
      </c>
      <c r="AH12">
        <f t="shared" si="4"/>
        <v>325.70080000000002</v>
      </c>
      <c r="AI12">
        <f t="shared" si="4"/>
        <v>323.80399999999997</v>
      </c>
      <c r="AJ12">
        <f t="shared" si="4"/>
        <v>321.90839999999997</v>
      </c>
      <c r="AK12">
        <f t="shared" si="4"/>
        <v>320.01409999999998</v>
      </c>
      <c r="AL12">
        <f t="shared" si="4"/>
        <v>318.12099999999998</v>
      </c>
      <c r="AM12">
        <f t="shared" si="4"/>
        <v>316.22930000000002</v>
      </c>
      <c r="AN12">
        <f t="shared" si="4"/>
        <v>314.339</v>
      </c>
      <c r="AO12">
        <f t="shared" si="4"/>
        <v>312.45</v>
      </c>
      <c r="AP12">
        <f t="shared" si="4"/>
        <v>310.56240000000003</v>
      </c>
      <c r="AQ12">
        <f t="shared" si="4"/>
        <v>308.67619999999999</v>
      </c>
      <c r="AR12">
        <f t="shared" si="4"/>
        <v>306.79149999999998</v>
      </c>
      <c r="AS12">
        <f t="shared" si="4"/>
        <v>304.90820000000002</v>
      </c>
      <c r="AT12">
        <f t="shared" si="4"/>
        <v>303.02640000000002</v>
      </c>
      <c r="AU12">
        <f t="shared" si="4"/>
        <v>301.14609999999999</v>
      </c>
      <c r="AV12">
        <f t="shared" si="4"/>
        <v>299.26740000000001</v>
      </c>
      <c r="AW12">
        <f t="shared" si="4"/>
        <v>297.39030000000002</v>
      </c>
      <c r="AX12">
        <f t="shared" si="4"/>
        <v>295.51479999999998</v>
      </c>
      <c r="AY12">
        <f t="shared" si="4"/>
        <v>293.64089999999999</v>
      </c>
      <c r="AZ12">
        <f t="shared" si="4"/>
        <v>291.76870000000002</v>
      </c>
      <c r="BA12">
        <f t="shared" si="4"/>
        <v>289.89830000000001</v>
      </c>
      <c r="BB12">
        <f t="shared" si="4"/>
        <v>288.02949999999998</v>
      </c>
      <c r="BC12">
        <f t="shared" si="4"/>
        <v>286.16250000000002</v>
      </c>
      <c r="BD12">
        <f t="shared" si="4"/>
        <v>284.29739999999998</v>
      </c>
      <c r="BE12">
        <f t="shared" si="4"/>
        <v>282.4341</v>
      </c>
      <c r="BF12">
        <f t="shared" si="4"/>
        <v>280.57260000000002</v>
      </c>
      <c r="BG12">
        <f t="shared" si="4"/>
        <v>278.7131</v>
      </c>
      <c r="BH12">
        <f t="shared" si="4"/>
        <v>276.85559999999998</v>
      </c>
      <c r="BI12">
        <f t="shared" si="4"/>
        <v>275</v>
      </c>
      <c r="BJ12">
        <f t="shared" si="4"/>
        <v>273.1465</v>
      </c>
      <c r="BK12">
        <f t="shared" si="4"/>
        <v>271.29500000000002</v>
      </c>
      <c r="BL12">
        <f t="shared" si="4"/>
        <v>269.44569999999999</v>
      </c>
      <c r="BM12">
        <f t="shared" si="4"/>
        <v>267.59859999999998</v>
      </c>
      <c r="BN12">
        <f t="shared" si="4"/>
        <v>265.75360000000001</v>
      </c>
      <c r="BO12">
        <f t="shared" si="4"/>
        <v>263.911</v>
      </c>
      <c r="BP12">
        <f t="shared" si="4"/>
        <v>262.07060000000001</v>
      </c>
      <c r="BQ12">
        <f t="shared" si="5"/>
        <v>260.23259999999999</v>
      </c>
      <c r="BR12">
        <f t="shared" si="5"/>
        <v>258.39699999999999</v>
      </c>
      <c r="BS12">
        <f t="shared" si="5"/>
        <v>256.56380000000001</v>
      </c>
      <c r="BT12">
        <f t="shared" si="5"/>
        <v>254.73320000000001</v>
      </c>
      <c r="BU12">
        <f t="shared" si="5"/>
        <v>252.9051</v>
      </c>
      <c r="BV12">
        <f t="shared" si="5"/>
        <v>251.0797</v>
      </c>
      <c r="BW12">
        <f t="shared" si="5"/>
        <v>249.2569</v>
      </c>
      <c r="BX12">
        <f t="shared" si="5"/>
        <v>247.43690000000001</v>
      </c>
      <c r="BY12">
        <f t="shared" si="5"/>
        <v>245.61959999999999</v>
      </c>
      <c r="BZ12">
        <f t="shared" si="5"/>
        <v>243.80529999999999</v>
      </c>
      <c r="CA12">
        <f t="shared" si="5"/>
        <v>241.99379999999999</v>
      </c>
      <c r="CB12">
        <f t="shared" si="5"/>
        <v>240.18530000000001</v>
      </c>
      <c r="CC12">
        <f t="shared" si="5"/>
        <v>238.37989999999999</v>
      </c>
      <c r="CD12">
        <f t="shared" si="5"/>
        <v>236.57769999999999</v>
      </c>
      <c r="CE12">
        <f t="shared" si="5"/>
        <v>234.77860000000001</v>
      </c>
      <c r="CF12">
        <f t="shared" si="5"/>
        <v>232.9828</v>
      </c>
      <c r="CG12">
        <f t="shared" si="5"/>
        <v>231.19040000000001</v>
      </c>
      <c r="CH12">
        <f t="shared" si="5"/>
        <v>229.4014</v>
      </c>
      <c r="CI12">
        <f t="shared" si="5"/>
        <v>227.61590000000001</v>
      </c>
      <c r="CJ12">
        <f t="shared" si="5"/>
        <v>225.834</v>
      </c>
      <c r="CK12">
        <f t="shared" si="5"/>
        <v>224.0558</v>
      </c>
      <c r="CL12">
        <f t="shared" si="5"/>
        <v>222.28139999999999</v>
      </c>
      <c r="CM12">
        <f t="shared" si="5"/>
        <v>220.51079999999999</v>
      </c>
      <c r="CN12">
        <f t="shared" si="5"/>
        <v>218.7441</v>
      </c>
      <c r="CO12">
        <f t="shared" si="5"/>
        <v>216.98159999999999</v>
      </c>
      <c r="CP12">
        <f t="shared" si="5"/>
        <v>215.22309999999999</v>
      </c>
      <c r="CQ12">
        <f t="shared" si="5"/>
        <v>213.46899999999999</v>
      </c>
      <c r="CR12">
        <f t="shared" si="5"/>
        <v>211.7191</v>
      </c>
      <c r="CS12">
        <f t="shared" si="5"/>
        <v>209.97380000000001</v>
      </c>
      <c r="CT12">
        <f t="shared" si="5"/>
        <v>208.233</v>
      </c>
      <c r="CU12">
        <f t="shared" si="5"/>
        <v>206.49700000000001</v>
      </c>
      <c r="CV12">
        <f t="shared" si="5"/>
        <v>204.76570000000001</v>
      </c>
    </row>
    <row r="13" spans="1:100" x14ac:dyDescent="0.3">
      <c r="D13">
        <f t="shared" si="6"/>
        <v>379.24270000000001</v>
      </c>
      <c r="E13">
        <f t="shared" ref="E13:BP14" si="7">E5*1</f>
        <v>379.24270000000001</v>
      </c>
      <c r="F13">
        <f t="shared" si="7"/>
        <v>379.24270000000001</v>
      </c>
      <c r="G13">
        <f t="shared" si="7"/>
        <v>377.31819999999999</v>
      </c>
      <c r="H13">
        <f t="shared" si="7"/>
        <v>375.39449999999999</v>
      </c>
      <c r="I13">
        <f t="shared" si="7"/>
        <v>373.47160000000002</v>
      </c>
      <c r="J13">
        <f t="shared" si="7"/>
        <v>371.54950000000002</v>
      </c>
      <c r="K13">
        <f t="shared" si="7"/>
        <v>369.62819999999999</v>
      </c>
      <c r="L13">
        <f t="shared" si="7"/>
        <v>367.70780000000002</v>
      </c>
      <c r="M13">
        <f t="shared" si="7"/>
        <v>365.78820000000002</v>
      </c>
      <c r="N13">
        <f t="shared" si="7"/>
        <v>363.86950000000002</v>
      </c>
      <c r="O13">
        <f t="shared" si="7"/>
        <v>361.95170000000002</v>
      </c>
      <c r="P13">
        <f t="shared" si="7"/>
        <v>360.03469999999999</v>
      </c>
      <c r="Q13">
        <f t="shared" si="7"/>
        <v>358.11869999999999</v>
      </c>
      <c r="R13">
        <f t="shared" si="7"/>
        <v>356.20359999999999</v>
      </c>
      <c r="S13">
        <f t="shared" si="7"/>
        <v>354.2894</v>
      </c>
      <c r="T13">
        <f t="shared" si="7"/>
        <v>352.37619999999998</v>
      </c>
      <c r="U13">
        <f t="shared" si="7"/>
        <v>350.464</v>
      </c>
      <c r="V13">
        <f t="shared" si="7"/>
        <v>348.55270000000002</v>
      </c>
      <c r="W13">
        <f t="shared" si="7"/>
        <v>346.64249999999998</v>
      </c>
      <c r="X13">
        <f t="shared" si="7"/>
        <v>344.73320000000001</v>
      </c>
      <c r="Y13">
        <f t="shared" si="7"/>
        <v>342.82499999999999</v>
      </c>
      <c r="Z13">
        <f t="shared" si="7"/>
        <v>340.91789999999997</v>
      </c>
      <c r="AA13">
        <f t="shared" si="7"/>
        <v>339.01179999999999</v>
      </c>
      <c r="AB13">
        <f t="shared" si="7"/>
        <v>337.10680000000002</v>
      </c>
      <c r="AC13">
        <f t="shared" si="7"/>
        <v>335.2029</v>
      </c>
      <c r="AD13">
        <f t="shared" si="7"/>
        <v>333.30020000000002</v>
      </c>
      <c r="AE13">
        <f t="shared" si="7"/>
        <v>331.39859999999999</v>
      </c>
      <c r="AF13">
        <f t="shared" si="7"/>
        <v>329.49810000000002</v>
      </c>
      <c r="AG13">
        <f t="shared" si="7"/>
        <v>327.59879999999998</v>
      </c>
      <c r="AH13">
        <f t="shared" si="7"/>
        <v>325.70080000000002</v>
      </c>
      <c r="AI13">
        <f t="shared" si="7"/>
        <v>323.80399999999997</v>
      </c>
      <c r="AJ13">
        <f t="shared" si="7"/>
        <v>321.90839999999997</v>
      </c>
      <c r="AK13">
        <f t="shared" si="7"/>
        <v>320.01409999999998</v>
      </c>
      <c r="AL13">
        <f t="shared" si="7"/>
        <v>318.12099999999998</v>
      </c>
      <c r="AM13">
        <f t="shared" si="7"/>
        <v>316.22930000000002</v>
      </c>
      <c r="AN13">
        <f t="shared" si="7"/>
        <v>314.339</v>
      </c>
      <c r="AO13">
        <f t="shared" si="7"/>
        <v>312.45</v>
      </c>
      <c r="AP13">
        <f t="shared" si="7"/>
        <v>310.56240000000003</v>
      </c>
      <c r="AQ13">
        <f t="shared" si="7"/>
        <v>308.67619999999999</v>
      </c>
      <c r="AR13">
        <f t="shared" si="7"/>
        <v>306.79149999999998</v>
      </c>
      <c r="AS13">
        <f t="shared" si="7"/>
        <v>304.90820000000002</v>
      </c>
      <c r="AT13">
        <f t="shared" si="7"/>
        <v>303.02640000000002</v>
      </c>
      <c r="AU13">
        <f t="shared" si="7"/>
        <v>301.14609999999999</v>
      </c>
      <c r="AV13">
        <f t="shared" si="7"/>
        <v>299.26740000000001</v>
      </c>
      <c r="AW13">
        <f t="shared" si="7"/>
        <v>297.39030000000002</v>
      </c>
      <c r="AX13">
        <f t="shared" si="7"/>
        <v>295.51479999999998</v>
      </c>
      <c r="AY13">
        <f t="shared" si="7"/>
        <v>293.64089999999999</v>
      </c>
      <c r="AZ13">
        <f t="shared" si="7"/>
        <v>291.76870000000002</v>
      </c>
      <c r="BA13">
        <f t="shared" si="7"/>
        <v>289.89830000000001</v>
      </c>
      <c r="BB13">
        <f t="shared" si="7"/>
        <v>288.02949999999998</v>
      </c>
      <c r="BC13">
        <f t="shared" si="7"/>
        <v>286.16250000000002</v>
      </c>
      <c r="BD13">
        <f t="shared" si="7"/>
        <v>284.29739999999998</v>
      </c>
      <c r="BE13">
        <f t="shared" si="7"/>
        <v>282.4341</v>
      </c>
      <c r="BF13">
        <f t="shared" si="7"/>
        <v>280.57260000000002</v>
      </c>
      <c r="BG13">
        <f t="shared" si="7"/>
        <v>278.7131</v>
      </c>
      <c r="BH13">
        <f t="shared" si="7"/>
        <v>276.85559999999998</v>
      </c>
      <c r="BI13">
        <f t="shared" si="7"/>
        <v>275</v>
      </c>
      <c r="BJ13">
        <f t="shared" si="7"/>
        <v>273.1465</v>
      </c>
      <c r="BK13">
        <f t="shared" si="7"/>
        <v>271.29500000000002</v>
      </c>
      <c r="BL13">
        <f t="shared" si="7"/>
        <v>269.44569999999999</v>
      </c>
      <c r="BM13">
        <f t="shared" si="7"/>
        <v>267.59859999999998</v>
      </c>
      <c r="BN13">
        <f t="shared" si="7"/>
        <v>265.75360000000001</v>
      </c>
      <c r="BO13">
        <f t="shared" si="7"/>
        <v>263.911</v>
      </c>
      <c r="BP13">
        <f t="shared" si="7"/>
        <v>262.07060000000001</v>
      </c>
      <c r="BQ13">
        <f t="shared" si="5"/>
        <v>260.23259999999999</v>
      </c>
      <c r="BR13">
        <f t="shared" si="5"/>
        <v>258.39699999999999</v>
      </c>
      <c r="BS13">
        <f t="shared" si="5"/>
        <v>256.56380000000001</v>
      </c>
      <c r="BT13">
        <f t="shared" si="5"/>
        <v>254.73320000000001</v>
      </c>
      <c r="BU13">
        <f t="shared" si="5"/>
        <v>252.9051</v>
      </c>
      <c r="BV13">
        <f t="shared" si="5"/>
        <v>251.0797</v>
      </c>
      <c r="BW13">
        <f t="shared" si="5"/>
        <v>249.2569</v>
      </c>
      <c r="BX13">
        <f t="shared" si="5"/>
        <v>247.43690000000001</v>
      </c>
      <c r="BY13">
        <f t="shared" si="5"/>
        <v>245.61959999999999</v>
      </c>
      <c r="BZ13">
        <f t="shared" si="5"/>
        <v>243.80529999999999</v>
      </c>
      <c r="CA13">
        <f t="shared" si="5"/>
        <v>241.99379999999999</v>
      </c>
      <c r="CB13">
        <f t="shared" si="5"/>
        <v>240.18530000000001</v>
      </c>
      <c r="CC13">
        <f t="shared" si="5"/>
        <v>238.37989999999999</v>
      </c>
      <c r="CD13">
        <f t="shared" si="5"/>
        <v>236.57769999999999</v>
      </c>
      <c r="CE13">
        <f t="shared" si="5"/>
        <v>234.77860000000001</v>
      </c>
      <c r="CF13">
        <f t="shared" si="5"/>
        <v>232.9828</v>
      </c>
      <c r="CG13">
        <f t="shared" si="5"/>
        <v>231.19040000000001</v>
      </c>
      <c r="CH13">
        <f t="shared" si="5"/>
        <v>229.4014</v>
      </c>
      <c r="CI13">
        <f t="shared" si="5"/>
        <v>227.61590000000001</v>
      </c>
      <c r="CJ13">
        <f t="shared" si="5"/>
        <v>225.834</v>
      </c>
      <c r="CK13">
        <f t="shared" si="5"/>
        <v>224.0558</v>
      </c>
      <c r="CL13">
        <f t="shared" si="5"/>
        <v>222.28139999999999</v>
      </c>
      <c r="CM13">
        <f t="shared" si="5"/>
        <v>220.51079999999999</v>
      </c>
      <c r="CN13">
        <f t="shared" si="5"/>
        <v>218.7441</v>
      </c>
      <c r="CO13">
        <f t="shared" si="5"/>
        <v>216.98159999999999</v>
      </c>
      <c r="CP13">
        <f t="shared" si="5"/>
        <v>215.22309999999999</v>
      </c>
      <c r="CQ13">
        <f t="shared" si="5"/>
        <v>213.46899999999999</v>
      </c>
      <c r="CR13">
        <f t="shared" si="5"/>
        <v>211.7191</v>
      </c>
      <c r="CS13">
        <f t="shared" si="5"/>
        <v>209.97380000000001</v>
      </c>
      <c r="CT13">
        <f t="shared" si="5"/>
        <v>208.233</v>
      </c>
      <c r="CU13">
        <f t="shared" si="5"/>
        <v>206.49700000000001</v>
      </c>
      <c r="CV13">
        <f t="shared" si="5"/>
        <v>204.76570000000001</v>
      </c>
    </row>
    <row r="14" spans="1:100" x14ac:dyDescent="0.3">
      <c r="D14">
        <f t="shared" si="6"/>
        <v>375.9973</v>
      </c>
      <c r="E14">
        <f t="shared" si="7"/>
        <v>375.9973</v>
      </c>
      <c r="F14">
        <f t="shared" si="7"/>
        <v>375.9973</v>
      </c>
      <c r="G14">
        <f t="shared" si="7"/>
        <v>374.05619999999999</v>
      </c>
      <c r="H14">
        <f t="shared" si="7"/>
        <v>372.11559999999997</v>
      </c>
      <c r="I14">
        <f t="shared" si="7"/>
        <v>370.17559999999997</v>
      </c>
      <c r="J14">
        <f t="shared" si="7"/>
        <v>368.23630000000003</v>
      </c>
      <c r="K14">
        <f t="shared" si="7"/>
        <v>366.29770000000002</v>
      </c>
      <c r="L14">
        <f t="shared" si="7"/>
        <v>364.35969999999998</v>
      </c>
      <c r="M14">
        <f t="shared" si="7"/>
        <v>362.42239999999998</v>
      </c>
      <c r="N14">
        <f t="shared" si="7"/>
        <v>360.48579999999998</v>
      </c>
      <c r="O14">
        <f t="shared" si="7"/>
        <v>358.54989999999998</v>
      </c>
      <c r="P14">
        <f t="shared" si="7"/>
        <v>356.6146</v>
      </c>
      <c r="Q14">
        <f t="shared" si="7"/>
        <v>354.68009999999998</v>
      </c>
      <c r="R14">
        <f t="shared" si="7"/>
        <v>352.74639999999999</v>
      </c>
      <c r="S14">
        <f t="shared" si="7"/>
        <v>350.8134</v>
      </c>
      <c r="T14">
        <f t="shared" si="7"/>
        <v>348.8811</v>
      </c>
      <c r="U14">
        <f t="shared" si="7"/>
        <v>346.94959999999998</v>
      </c>
      <c r="V14">
        <f t="shared" si="7"/>
        <v>345.0188</v>
      </c>
      <c r="W14">
        <f t="shared" si="7"/>
        <v>343.08890000000002</v>
      </c>
      <c r="X14">
        <f t="shared" si="7"/>
        <v>341.15980000000002</v>
      </c>
      <c r="Y14">
        <f t="shared" si="7"/>
        <v>339.23149999999998</v>
      </c>
      <c r="Z14">
        <f t="shared" si="7"/>
        <v>337.30399999999997</v>
      </c>
      <c r="AA14">
        <f t="shared" si="7"/>
        <v>335.37740000000002</v>
      </c>
      <c r="AB14">
        <f t="shared" si="7"/>
        <v>333.45170000000002</v>
      </c>
      <c r="AC14">
        <f t="shared" si="7"/>
        <v>331.52679999999998</v>
      </c>
      <c r="AD14">
        <f t="shared" si="7"/>
        <v>329.6028</v>
      </c>
      <c r="AE14">
        <f t="shared" si="7"/>
        <v>327.67970000000003</v>
      </c>
      <c r="AF14">
        <f t="shared" si="7"/>
        <v>325.75760000000002</v>
      </c>
      <c r="AG14">
        <f t="shared" si="7"/>
        <v>323.83640000000003</v>
      </c>
      <c r="AH14">
        <f t="shared" si="7"/>
        <v>321.91609999999997</v>
      </c>
      <c r="AI14">
        <f t="shared" si="7"/>
        <v>319.99689999999998</v>
      </c>
      <c r="AJ14">
        <f t="shared" si="7"/>
        <v>318.07859999999999</v>
      </c>
      <c r="AK14">
        <f t="shared" si="7"/>
        <v>316.16129999999998</v>
      </c>
      <c r="AL14">
        <f t="shared" si="7"/>
        <v>314.24509999999998</v>
      </c>
      <c r="AM14">
        <f t="shared" si="7"/>
        <v>312.33</v>
      </c>
      <c r="AN14">
        <f t="shared" si="7"/>
        <v>310.41590000000002</v>
      </c>
      <c r="AO14">
        <f t="shared" si="7"/>
        <v>308.50279999999998</v>
      </c>
      <c r="AP14">
        <f t="shared" si="7"/>
        <v>306.59089999999998</v>
      </c>
      <c r="AQ14">
        <f t="shared" si="7"/>
        <v>304.68009999999998</v>
      </c>
      <c r="AR14">
        <f t="shared" si="7"/>
        <v>302.77050000000003</v>
      </c>
      <c r="AS14">
        <f t="shared" si="7"/>
        <v>300.8621</v>
      </c>
      <c r="AT14">
        <f t="shared" si="7"/>
        <v>298.95479999999998</v>
      </c>
      <c r="AU14">
        <f t="shared" si="7"/>
        <v>297.04880000000003</v>
      </c>
      <c r="AV14">
        <f t="shared" si="7"/>
        <v>295.14400000000001</v>
      </c>
      <c r="AW14">
        <f t="shared" si="7"/>
        <v>293.2405</v>
      </c>
      <c r="AX14">
        <f t="shared" si="7"/>
        <v>291.3383</v>
      </c>
      <c r="AY14">
        <f t="shared" si="7"/>
        <v>289.43740000000003</v>
      </c>
      <c r="AZ14">
        <f t="shared" si="7"/>
        <v>287.5378</v>
      </c>
      <c r="BA14">
        <f t="shared" si="7"/>
        <v>285.63959999999997</v>
      </c>
      <c r="BB14">
        <f t="shared" si="7"/>
        <v>283.74279999999999</v>
      </c>
      <c r="BC14">
        <f t="shared" si="7"/>
        <v>281.84750000000003</v>
      </c>
      <c r="BD14">
        <f t="shared" si="7"/>
        <v>279.95359999999999</v>
      </c>
      <c r="BE14">
        <f t="shared" si="7"/>
        <v>278.06119999999999</v>
      </c>
      <c r="BF14">
        <f t="shared" si="7"/>
        <v>276.17020000000002</v>
      </c>
      <c r="BG14">
        <f t="shared" si="7"/>
        <v>274.28089999999997</v>
      </c>
      <c r="BH14">
        <f t="shared" si="7"/>
        <v>272.3931</v>
      </c>
      <c r="BI14">
        <f t="shared" si="7"/>
        <v>270.50689999999997</v>
      </c>
      <c r="BJ14">
        <f t="shared" si="7"/>
        <v>268.62240000000003</v>
      </c>
      <c r="BK14">
        <f t="shared" si="7"/>
        <v>266.7396</v>
      </c>
      <c r="BL14">
        <f t="shared" si="7"/>
        <v>264.85849999999999</v>
      </c>
      <c r="BM14">
        <f t="shared" si="7"/>
        <v>262.97910000000002</v>
      </c>
      <c r="BN14">
        <f t="shared" si="7"/>
        <v>261.10149999999999</v>
      </c>
      <c r="BO14">
        <f t="shared" si="7"/>
        <v>259.22579999999999</v>
      </c>
      <c r="BP14">
        <f t="shared" si="7"/>
        <v>257.3519</v>
      </c>
      <c r="BQ14">
        <f t="shared" si="5"/>
        <v>255.47989999999999</v>
      </c>
      <c r="BR14">
        <f t="shared" si="5"/>
        <v>253.60990000000001</v>
      </c>
      <c r="BS14">
        <f t="shared" si="5"/>
        <v>251.74189999999999</v>
      </c>
      <c r="BT14">
        <f t="shared" si="5"/>
        <v>249.876</v>
      </c>
      <c r="BU14">
        <f t="shared" si="5"/>
        <v>248.0121</v>
      </c>
      <c r="BV14">
        <f t="shared" si="5"/>
        <v>246.15039999999999</v>
      </c>
      <c r="BW14">
        <f t="shared" si="5"/>
        <v>244.29079999999999</v>
      </c>
      <c r="BX14">
        <f t="shared" si="5"/>
        <v>242.43350000000001</v>
      </c>
      <c r="BY14">
        <f t="shared" si="5"/>
        <v>240.57849999999999</v>
      </c>
      <c r="BZ14">
        <f t="shared" si="5"/>
        <v>238.72579999999999</v>
      </c>
      <c r="CA14">
        <f t="shared" si="5"/>
        <v>236.87549999999999</v>
      </c>
      <c r="CB14">
        <f t="shared" si="5"/>
        <v>235.02770000000001</v>
      </c>
      <c r="CC14">
        <f t="shared" si="5"/>
        <v>233.1823</v>
      </c>
      <c r="CD14">
        <f t="shared" si="5"/>
        <v>231.33959999999999</v>
      </c>
      <c r="CE14">
        <f t="shared" si="5"/>
        <v>229.49950000000001</v>
      </c>
      <c r="CF14">
        <f t="shared" si="5"/>
        <v>227.66200000000001</v>
      </c>
      <c r="CG14">
        <f t="shared" si="5"/>
        <v>225.82740000000001</v>
      </c>
      <c r="CH14">
        <f t="shared" si="5"/>
        <v>223.99549999999999</v>
      </c>
      <c r="CI14">
        <f t="shared" si="5"/>
        <v>222.16659999999999</v>
      </c>
      <c r="CJ14">
        <f t="shared" si="5"/>
        <v>220.3407</v>
      </c>
      <c r="CK14">
        <f t="shared" si="5"/>
        <v>218.51769999999999</v>
      </c>
      <c r="CL14">
        <f t="shared" si="5"/>
        <v>216.69800000000001</v>
      </c>
      <c r="CM14">
        <f t="shared" si="5"/>
        <v>214.88140000000001</v>
      </c>
      <c r="CN14">
        <f t="shared" si="5"/>
        <v>213.06809999999999</v>
      </c>
      <c r="CO14">
        <f t="shared" si="5"/>
        <v>211.25810000000001</v>
      </c>
      <c r="CP14">
        <f t="shared" si="5"/>
        <v>209.45169999999999</v>
      </c>
      <c r="CQ14">
        <f t="shared" si="5"/>
        <v>207.64869999999999</v>
      </c>
      <c r="CR14">
        <f t="shared" si="5"/>
        <v>205.84950000000001</v>
      </c>
      <c r="CS14">
        <f t="shared" si="5"/>
        <v>204.0539</v>
      </c>
      <c r="CT14">
        <f t="shared" si="5"/>
        <v>202.26220000000001</v>
      </c>
      <c r="CU14">
        <f t="shared" si="5"/>
        <v>200.4744</v>
      </c>
      <c r="CV14">
        <f t="shared" si="5"/>
        <v>198.69069999999999</v>
      </c>
    </row>
    <row r="15" spans="1:100" x14ac:dyDescent="0.3">
      <c r="A15">
        <v>0.1</v>
      </c>
      <c r="B15">
        <f>A15+0.1</f>
        <v>0.2</v>
      </c>
      <c r="C15">
        <f t="shared" ref="C15:BN15" si="8">B15+0.1</f>
        <v>0.30000000000000004</v>
      </c>
      <c r="D15">
        <f t="shared" si="8"/>
        <v>0.4</v>
      </c>
      <c r="E15">
        <f t="shared" si="8"/>
        <v>0.5</v>
      </c>
      <c r="F15">
        <f t="shared" si="8"/>
        <v>0.6</v>
      </c>
      <c r="G15">
        <f t="shared" si="8"/>
        <v>0.7</v>
      </c>
      <c r="H15">
        <f t="shared" si="8"/>
        <v>0.79999999999999993</v>
      </c>
      <c r="I15">
        <f t="shared" si="8"/>
        <v>0.89999999999999991</v>
      </c>
      <c r="J15">
        <f t="shared" si="8"/>
        <v>0.99999999999999989</v>
      </c>
      <c r="K15">
        <f t="shared" si="8"/>
        <v>1.0999999999999999</v>
      </c>
      <c r="L15">
        <f t="shared" si="8"/>
        <v>1.2</v>
      </c>
      <c r="M15">
        <f t="shared" si="8"/>
        <v>1.3</v>
      </c>
      <c r="N15">
        <f t="shared" si="8"/>
        <v>1.4000000000000001</v>
      </c>
      <c r="O15">
        <f t="shared" si="8"/>
        <v>1.5000000000000002</v>
      </c>
      <c r="P15">
        <f t="shared" si="8"/>
        <v>1.6000000000000003</v>
      </c>
      <c r="Q15">
        <f t="shared" si="8"/>
        <v>1.7000000000000004</v>
      </c>
      <c r="R15">
        <f t="shared" si="8"/>
        <v>1.8000000000000005</v>
      </c>
      <c r="S15">
        <f t="shared" si="8"/>
        <v>1.9000000000000006</v>
      </c>
      <c r="T15">
        <f t="shared" si="8"/>
        <v>2.0000000000000004</v>
      </c>
      <c r="U15">
        <f t="shared" si="8"/>
        <v>2.1000000000000005</v>
      </c>
      <c r="V15">
        <f t="shared" si="8"/>
        <v>2.2000000000000006</v>
      </c>
      <c r="W15">
        <f t="shared" si="8"/>
        <v>2.3000000000000007</v>
      </c>
      <c r="X15">
        <f t="shared" si="8"/>
        <v>2.4000000000000008</v>
      </c>
      <c r="Y15">
        <f t="shared" si="8"/>
        <v>2.5000000000000009</v>
      </c>
      <c r="Z15">
        <f t="shared" si="8"/>
        <v>2.600000000000001</v>
      </c>
      <c r="AA15">
        <f t="shared" si="8"/>
        <v>2.7000000000000011</v>
      </c>
      <c r="AB15">
        <f t="shared" si="8"/>
        <v>2.8000000000000012</v>
      </c>
      <c r="AC15">
        <f t="shared" si="8"/>
        <v>2.9000000000000012</v>
      </c>
      <c r="AD15">
        <f t="shared" si="8"/>
        <v>3.0000000000000013</v>
      </c>
      <c r="AE15">
        <f t="shared" si="8"/>
        <v>3.1000000000000014</v>
      </c>
      <c r="AF15">
        <f t="shared" si="8"/>
        <v>3.2000000000000015</v>
      </c>
      <c r="AG15">
        <f t="shared" si="8"/>
        <v>3.3000000000000016</v>
      </c>
      <c r="AH15">
        <f t="shared" si="8"/>
        <v>3.4000000000000017</v>
      </c>
      <c r="AI15">
        <f t="shared" si="8"/>
        <v>3.5000000000000018</v>
      </c>
      <c r="AJ15">
        <f t="shared" si="8"/>
        <v>3.6000000000000019</v>
      </c>
      <c r="AK15">
        <f t="shared" si="8"/>
        <v>3.700000000000002</v>
      </c>
      <c r="AL15">
        <f t="shared" si="8"/>
        <v>3.800000000000002</v>
      </c>
      <c r="AM15">
        <f t="shared" si="8"/>
        <v>3.9000000000000021</v>
      </c>
      <c r="AN15">
        <f t="shared" si="8"/>
        <v>4.0000000000000018</v>
      </c>
      <c r="AO15">
        <f t="shared" si="8"/>
        <v>4.1000000000000014</v>
      </c>
      <c r="AP15">
        <f t="shared" si="8"/>
        <v>4.2000000000000011</v>
      </c>
      <c r="AQ15">
        <f t="shared" si="8"/>
        <v>4.3000000000000007</v>
      </c>
      <c r="AR15">
        <f t="shared" si="8"/>
        <v>4.4000000000000004</v>
      </c>
      <c r="AS15">
        <f t="shared" si="8"/>
        <v>4.5</v>
      </c>
      <c r="AT15">
        <f t="shared" si="8"/>
        <v>4.5999999999999996</v>
      </c>
      <c r="AU15">
        <f t="shared" si="8"/>
        <v>4.6999999999999993</v>
      </c>
      <c r="AV15">
        <f t="shared" si="8"/>
        <v>4.7999999999999989</v>
      </c>
      <c r="AW15">
        <f t="shared" si="8"/>
        <v>4.8999999999999986</v>
      </c>
      <c r="AX15">
        <f t="shared" si="8"/>
        <v>4.9999999999999982</v>
      </c>
      <c r="AY15">
        <f t="shared" si="8"/>
        <v>5.0999999999999979</v>
      </c>
      <c r="AZ15">
        <f t="shared" si="8"/>
        <v>5.1999999999999975</v>
      </c>
      <c r="BA15">
        <f t="shared" si="8"/>
        <v>5.2999999999999972</v>
      </c>
      <c r="BB15">
        <f t="shared" si="8"/>
        <v>5.3999999999999968</v>
      </c>
      <c r="BC15">
        <f t="shared" si="8"/>
        <v>5.4999999999999964</v>
      </c>
      <c r="BD15">
        <f t="shared" si="8"/>
        <v>5.5999999999999961</v>
      </c>
      <c r="BE15">
        <f t="shared" si="8"/>
        <v>5.6999999999999957</v>
      </c>
      <c r="BF15">
        <f t="shared" si="8"/>
        <v>5.7999999999999954</v>
      </c>
      <c r="BG15">
        <f t="shared" si="8"/>
        <v>5.899999999999995</v>
      </c>
      <c r="BH15">
        <f t="shared" si="8"/>
        <v>5.9999999999999947</v>
      </c>
      <c r="BI15">
        <f t="shared" si="8"/>
        <v>6.0999999999999943</v>
      </c>
      <c r="BJ15">
        <f t="shared" si="8"/>
        <v>6.199999999999994</v>
      </c>
      <c r="BK15">
        <f t="shared" si="8"/>
        <v>6.2999999999999936</v>
      </c>
      <c r="BL15">
        <f t="shared" si="8"/>
        <v>6.3999999999999932</v>
      </c>
      <c r="BM15">
        <f t="shared" si="8"/>
        <v>6.4999999999999929</v>
      </c>
      <c r="BN15">
        <f t="shared" si="8"/>
        <v>6.5999999999999925</v>
      </c>
      <c r="BO15">
        <f t="shared" ref="BO15:CV15" si="9">BN15+0.1</f>
        <v>6.6999999999999922</v>
      </c>
      <c r="BP15">
        <f t="shared" si="9"/>
        <v>6.7999999999999918</v>
      </c>
      <c r="BQ15">
        <f t="shared" si="9"/>
        <v>6.8999999999999915</v>
      </c>
      <c r="BR15">
        <f t="shared" si="9"/>
        <v>6.9999999999999911</v>
      </c>
      <c r="BS15">
        <f t="shared" si="9"/>
        <v>7.0999999999999908</v>
      </c>
      <c r="BT15">
        <f t="shared" si="9"/>
        <v>7.1999999999999904</v>
      </c>
      <c r="BU15">
        <f t="shared" si="9"/>
        <v>7.2999999999999901</v>
      </c>
      <c r="BV15">
        <f t="shared" si="9"/>
        <v>7.3999999999999897</v>
      </c>
      <c r="BW15">
        <f t="shared" si="9"/>
        <v>7.4999999999999893</v>
      </c>
      <c r="BX15">
        <f t="shared" si="9"/>
        <v>7.599999999999989</v>
      </c>
      <c r="BY15">
        <f t="shared" si="9"/>
        <v>7.6999999999999886</v>
      </c>
      <c r="BZ15">
        <f t="shared" si="9"/>
        <v>7.7999999999999883</v>
      </c>
      <c r="CA15">
        <f t="shared" si="9"/>
        <v>7.8999999999999879</v>
      </c>
      <c r="CB15">
        <f t="shared" si="9"/>
        <v>7.9999999999999876</v>
      </c>
      <c r="CC15">
        <f t="shared" si="9"/>
        <v>8.0999999999999872</v>
      </c>
      <c r="CD15">
        <f t="shared" si="9"/>
        <v>8.1999999999999869</v>
      </c>
      <c r="CE15">
        <f t="shared" si="9"/>
        <v>8.2999999999999865</v>
      </c>
      <c r="CF15">
        <f t="shared" si="9"/>
        <v>8.3999999999999861</v>
      </c>
      <c r="CG15">
        <f t="shared" si="9"/>
        <v>8.4999999999999858</v>
      </c>
      <c r="CH15">
        <f t="shared" si="9"/>
        <v>8.5999999999999854</v>
      </c>
      <c r="CI15">
        <f t="shared" si="9"/>
        <v>8.6999999999999851</v>
      </c>
      <c r="CJ15">
        <f t="shared" si="9"/>
        <v>8.7999999999999847</v>
      </c>
      <c r="CK15">
        <f t="shared" si="9"/>
        <v>8.8999999999999844</v>
      </c>
      <c r="CL15">
        <f t="shared" si="9"/>
        <v>8.999999999999984</v>
      </c>
      <c r="CM15">
        <f t="shared" si="9"/>
        <v>9.0999999999999837</v>
      </c>
      <c r="CN15">
        <f t="shared" si="9"/>
        <v>9.1999999999999833</v>
      </c>
      <c r="CO15">
        <f t="shared" si="9"/>
        <v>9.2999999999999829</v>
      </c>
      <c r="CP15">
        <f t="shared" si="9"/>
        <v>9.3999999999999826</v>
      </c>
      <c r="CQ15">
        <f t="shared" si="9"/>
        <v>9.4999999999999822</v>
      </c>
      <c r="CR15">
        <f t="shared" si="9"/>
        <v>9.5999999999999819</v>
      </c>
      <c r="CS15">
        <f t="shared" si="9"/>
        <v>9.6999999999999815</v>
      </c>
      <c r="CT15">
        <f t="shared" si="9"/>
        <v>9.7999999999999812</v>
      </c>
      <c r="CU15">
        <f t="shared" si="9"/>
        <v>9.8999999999999808</v>
      </c>
      <c r="CV15">
        <f t="shared" si="9"/>
        <v>9.9999999999999805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BF7F-FD2A-4386-8192-AEA6994100ED}">
  <dimension ref="A1:ALL9"/>
  <sheetViews>
    <sheetView topLeftCell="AHJ1" workbookViewId="0">
      <selection activeCell="A8" sqref="A8:XFD9"/>
    </sheetView>
  </sheetViews>
  <sheetFormatPr defaultRowHeight="14.4" x14ac:dyDescent="0.3"/>
  <cols>
    <col min="1" max="9" width="10.77734375" bestFit="1" customWidth="1"/>
    <col min="10" max="99" width="11.77734375" bestFit="1" customWidth="1"/>
    <col min="100" max="999" width="12.77734375" bestFit="1" customWidth="1"/>
    <col min="1000" max="1000" width="13.77734375" bestFit="1" customWidth="1"/>
  </cols>
  <sheetData>
    <row r="1" spans="1:10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</row>
    <row r="2" spans="1:1000" x14ac:dyDescent="0.3">
      <c r="A2" t="s">
        <v>1000</v>
      </c>
      <c r="B2" t="s">
        <v>1000</v>
      </c>
      <c r="C2" t="s">
        <v>1000</v>
      </c>
      <c r="D2" t="s">
        <v>1000</v>
      </c>
      <c r="E2" t="s">
        <v>1000</v>
      </c>
      <c r="F2" t="s">
        <v>1000</v>
      </c>
      <c r="G2" t="s">
        <v>1000</v>
      </c>
      <c r="H2" t="s">
        <v>1000</v>
      </c>
      <c r="I2" t="s">
        <v>1000</v>
      </c>
      <c r="J2" t="s">
        <v>1000</v>
      </c>
      <c r="K2" t="s">
        <v>1000</v>
      </c>
      <c r="L2" t="s">
        <v>1000</v>
      </c>
      <c r="M2" t="s">
        <v>1000</v>
      </c>
      <c r="N2" t="s">
        <v>1000</v>
      </c>
      <c r="O2" t="s">
        <v>1000</v>
      </c>
      <c r="P2" t="s">
        <v>1000</v>
      </c>
      <c r="Q2" t="s">
        <v>1000</v>
      </c>
      <c r="R2" t="s">
        <v>1000</v>
      </c>
      <c r="S2" t="s">
        <v>1000</v>
      </c>
      <c r="T2" t="s">
        <v>1000</v>
      </c>
      <c r="U2" t="s">
        <v>1000</v>
      </c>
      <c r="V2" t="s">
        <v>1000</v>
      </c>
      <c r="W2" t="s">
        <v>1000</v>
      </c>
      <c r="X2" t="s">
        <v>1000</v>
      </c>
      <c r="Y2" t="s">
        <v>1000</v>
      </c>
      <c r="Z2" t="s">
        <v>1000</v>
      </c>
      <c r="AA2" t="s">
        <v>1000</v>
      </c>
      <c r="AB2" t="s">
        <v>1000</v>
      </c>
      <c r="AC2" t="s">
        <v>1000</v>
      </c>
      <c r="AD2" t="s">
        <v>1000</v>
      </c>
      <c r="AE2" t="s">
        <v>1000</v>
      </c>
      <c r="AF2" t="s">
        <v>1000</v>
      </c>
      <c r="AG2" t="s">
        <v>1000</v>
      </c>
      <c r="AH2" t="s">
        <v>1000</v>
      </c>
      <c r="AI2" t="s">
        <v>1000</v>
      </c>
      <c r="AJ2" t="s">
        <v>1000</v>
      </c>
      <c r="AK2" t="s">
        <v>1000</v>
      </c>
      <c r="AL2" t="s">
        <v>1000</v>
      </c>
      <c r="AM2" t="s">
        <v>1000</v>
      </c>
      <c r="AN2" t="s">
        <v>1000</v>
      </c>
      <c r="AO2" t="s">
        <v>1000</v>
      </c>
      <c r="AP2" t="s">
        <v>1000</v>
      </c>
      <c r="AQ2" t="s">
        <v>1000</v>
      </c>
      <c r="AR2" t="s">
        <v>1000</v>
      </c>
      <c r="AS2" t="s">
        <v>1000</v>
      </c>
      <c r="AT2" t="s">
        <v>1000</v>
      </c>
      <c r="AU2" t="s">
        <v>1000</v>
      </c>
      <c r="AV2" t="s">
        <v>1000</v>
      </c>
      <c r="AW2" t="s">
        <v>1000</v>
      </c>
      <c r="AX2" t="s">
        <v>1000</v>
      </c>
      <c r="AY2" t="s">
        <v>1001</v>
      </c>
      <c r="AZ2" t="s">
        <v>1001</v>
      </c>
      <c r="BA2" t="s">
        <v>1001</v>
      </c>
      <c r="BB2" t="s">
        <v>1001</v>
      </c>
      <c r="BC2" t="s">
        <v>1001</v>
      </c>
      <c r="BD2" t="s">
        <v>1001</v>
      </c>
      <c r="BE2" t="s">
        <v>1001</v>
      </c>
      <c r="BF2" t="s">
        <v>1001</v>
      </c>
      <c r="BG2" t="s">
        <v>1001</v>
      </c>
      <c r="BH2" t="s">
        <v>1001</v>
      </c>
      <c r="BI2" t="s">
        <v>1002</v>
      </c>
      <c r="BJ2" t="s">
        <v>1002</v>
      </c>
      <c r="BK2" t="s">
        <v>1002</v>
      </c>
      <c r="BL2" t="s">
        <v>1002</v>
      </c>
      <c r="BM2" t="s">
        <v>1002</v>
      </c>
      <c r="BN2" t="s">
        <v>1002</v>
      </c>
      <c r="BO2" t="s">
        <v>1002</v>
      </c>
      <c r="BP2" t="s">
        <v>1002</v>
      </c>
      <c r="BQ2" t="s">
        <v>1002</v>
      </c>
      <c r="BR2" t="s">
        <v>1002</v>
      </c>
      <c r="BS2" t="s">
        <v>1003</v>
      </c>
      <c r="BT2" t="s">
        <v>1003</v>
      </c>
      <c r="BU2" t="s">
        <v>1003</v>
      </c>
      <c r="BV2" t="s">
        <v>1003</v>
      </c>
      <c r="BW2" t="s">
        <v>1003</v>
      </c>
      <c r="BX2" t="s">
        <v>1003</v>
      </c>
      <c r="BY2" t="s">
        <v>1003</v>
      </c>
      <c r="BZ2" t="s">
        <v>1003</v>
      </c>
      <c r="CA2" t="s">
        <v>1003</v>
      </c>
      <c r="CB2" t="s">
        <v>1003</v>
      </c>
      <c r="CC2" t="s">
        <v>1004</v>
      </c>
      <c r="CD2" t="s">
        <v>1004</v>
      </c>
      <c r="CE2" t="s">
        <v>1004</v>
      </c>
      <c r="CF2" t="s">
        <v>1004</v>
      </c>
      <c r="CG2" t="s">
        <v>1004</v>
      </c>
      <c r="CH2" t="s">
        <v>1004</v>
      </c>
      <c r="CI2" t="s">
        <v>1004</v>
      </c>
      <c r="CJ2" t="s">
        <v>1004</v>
      </c>
      <c r="CK2" t="s">
        <v>1004</v>
      </c>
      <c r="CL2" t="s">
        <v>1004</v>
      </c>
      <c r="CM2" t="s">
        <v>1005</v>
      </c>
      <c r="CN2" t="s">
        <v>1005</v>
      </c>
      <c r="CO2" t="s">
        <v>1005</v>
      </c>
      <c r="CP2" t="s">
        <v>1005</v>
      </c>
      <c r="CQ2" t="s">
        <v>1005</v>
      </c>
      <c r="CR2" t="s">
        <v>1005</v>
      </c>
      <c r="CS2" t="s">
        <v>1005</v>
      </c>
      <c r="CT2" t="s">
        <v>1005</v>
      </c>
      <c r="CU2" t="s">
        <v>1005</v>
      </c>
      <c r="CV2" t="s">
        <v>1005</v>
      </c>
      <c r="CW2" t="s">
        <v>1006</v>
      </c>
      <c r="CX2" t="s">
        <v>1006</v>
      </c>
      <c r="CY2" t="s">
        <v>1006</v>
      </c>
      <c r="CZ2" t="s">
        <v>1006</v>
      </c>
      <c r="DA2" t="s">
        <v>1006</v>
      </c>
      <c r="DB2" t="s">
        <v>1006</v>
      </c>
      <c r="DC2" t="s">
        <v>1006</v>
      </c>
      <c r="DD2" t="s">
        <v>1006</v>
      </c>
      <c r="DE2" t="s">
        <v>1006</v>
      </c>
      <c r="DF2" t="s">
        <v>1006</v>
      </c>
      <c r="DG2" t="s">
        <v>1007</v>
      </c>
      <c r="DH2" t="s">
        <v>1007</v>
      </c>
      <c r="DI2" t="s">
        <v>1007</v>
      </c>
      <c r="DJ2" t="s">
        <v>1007</v>
      </c>
      <c r="DK2" t="s">
        <v>1007</v>
      </c>
      <c r="DL2" t="s">
        <v>1007</v>
      </c>
      <c r="DM2" t="s">
        <v>1007</v>
      </c>
      <c r="DN2" t="s">
        <v>1007</v>
      </c>
      <c r="DO2" t="s">
        <v>1007</v>
      </c>
      <c r="DP2" t="s">
        <v>1007</v>
      </c>
      <c r="DQ2" t="s">
        <v>1008</v>
      </c>
      <c r="DR2" t="s">
        <v>1008</v>
      </c>
      <c r="DS2" t="s">
        <v>1008</v>
      </c>
      <c r="DT2" t="s">
        <v>1008</v>
      </c>
      <c r="DU2" t="s">
        <v>1008</v>
      </c>
      <c r="DV2" t="s">
        <v>1008</v>
      </c>
      <c r="DW2" t="s">
        <v>1008</v>
      </c>
      <c r="DX2" t="s">
        <v>1008</v>
      </c>
      <c r="DY2" t="s">
        <v>1008</v>
      </c>
      <c r="DZ2" t="s">
        <v>1008</v>
      </c>
      <c r="EA2" t="s">
        <v>1009</v>
      </c>
      <c r="EB2" t="s">
        <v>1009</v>
      </c>
      <c r="EC2" t="s">
        <v>1009</v>
      </c>
      <c r="ED2" t="s">
        <v>1009</v>
      </c>
      <c r="EE2" t="s">
        <v>1009</v>
      </c>
      <c r="EF2" t="s">
        <v>1009</v>
      </c>
      <c r="EG2" t="s">
        <v>1009</v>
      </c>
      <c r="EH2" t="s">
        <v>1009</v>
      </c>
      <c r="EI2" t="s">
        <v>1009</v>
      </c>
      <c r="EJ2" t="s">
        <v>1009</v>
      </c>
      <c r="EK2" t="s">
        <v>1010</v>
      </c>
      <c r="EL2" t="s">
        <v>1010</v>
      </c>
      <c r="EM2" t="s">
        <v>1010</v>
      </c>
      <c r="EN2" t="s">
        <v>1010</v>
      </c>
      <c r="EO2" t="s">
        <v>1010</v>
      </c>
      <c r="EP2" t="s">
        <v>1010</v>
      </c>
      <c r="EQ2" t="s">
        <v>1010</v>
      </c>
      <c r="ER2" t="s">
        <v>1010</v>
      </c>
      <c r="ES2" t="s">
        <v>1010</v>
      </c>
      <c r="ET2" t="s">
        <v>1010</v>
      </c>
      <c r="EU2" t="s">
        <v>1011</v>
      </c>
      <c r="EV2" t="s">
        <v>1011</v>
      </c>
      <c r="EW2" t="s">
        <v>1011</v>
      </c>
      <c r="EX2" t="s">
        <v>1011</v>
      </c>
      <c r="EY2" t="s">
        <v>1011</v>
      </c>
      <c r="EZ2" t="s">
        <v>1011</v>
      </c>
      <c r="FA2" t="s">
        <v>1011</v>
      </c>
      <c r="FB2" t="s">
        <v>1011</v>
      </c>
      <c r="FC2" t="s">
        <v>1011</v>
      </c>
      <c r="FD2" t="s">
        <v>1011</v>
      </c>
      <c r="FE2" t="s">
        <v>1012</v>
      </c>
      <c r="FF2" t="s">
        <v>1012</v>
      </c>
      <c r="FG2" t="s">
        <v>1012</v>
      </c>
      <c r="FH2" t="s">
        <v>1012</v>
      </c>
      <c r="FI2" t="s">
        <v>1012</v>
      </c>
      <c r="FJ2" t="s">
        <v>1012</v>
      </c>
      <c r="FK2" t="s">
        <v>1012</v>
      </c>
      <c r="FL2" t="s">
        <v>1012</v>
      </c>
      <c r="FM2" t="s">
        <v>1012</v>
      </c>
      <c r="FN2" t="s">
        <v>1012</v>
      </c>
      <c r="FO2" t="s">
        <v>1013</v>
      </c>
      <c r="FP2" t="s">
        <v>1013</v>
      </c>
      <c r="FQ2" t="s">
        <v>1013</v>
      </c>
      <c r="FR2" t="s">
        <v>1013</v>
      </c>
      <c r="FS2" t="s">
        <v>1013</v>
      </c>
      <c r="FT2" t="s">
        <v>1013</v>
      </c>
      <c r="FU2" t="s">
        <v>1013</v>
      </c>
      <c r="FV2" t="s">
        <v>1013</v>
      </c>
      <c r="FW2" t="s">
        <v>1013</v>
      </c>
      <c r="FX2" t="s">
        <v>1013</v>
      </c>
      <c r="FY2" t="s">
        <v>1014</v>
      </c>
      <c r="FZ2" t="s">
        <v>1014</v>
      </c>
      <c r="GA2" t="s">
        <v>1014</v>
      </c>
      <c r="GB2" t="s">
        <v>1014</v>
      </c>
      <c r="GC2" t="s">
        <v>1014</v>
      </c>
      <c r="GD2" t="s">
        <v>1014</v>
      </c>
      <c r="GE2" t="s">
        <v>1014</v>
      </c>
      <c r="GF2" t="s">
        <v>1014</v>
      </c>
      <c r="GG2" t="s">
        <v>1014</v>
      </c>
      <c r="GH2" t="s">
        <v>1014</v>
      </c>
      <c r="GI2" t="s">
        <v>1015</v>
      </c>
      <c r="GJ2" t="s">
        <v>1015</v>
      </c>
      <c r="GK2" t="s">
        <v>1015</v>
      </c>
      <c r="GL2" t="s">
        <v>1015</v>
      </c>
      <c r="GM2" t="s">
        <v>1015</v>
      </c>
      <c r="GN2" t="s">
        <v>1015</v>
      </c>
      <c r="GO2" t="s">
        <v>1015</v>
      </c>
      <c r="GP2" t="s">
        <v>1015</v>
      </c>
      <c r="GQ2" t="s">
        <v>1015</v>
      </c>
      <c r="GR2" t="s">
        <v>1015</v>
      </c>
      <c r="GS2" t="s">
        <v>1016</v>
      </c>
      <c r="GT2" t="s">
        <v>1016</v>
      </c>
      <c r="GU2" t="s">
        <v>1016</v>
      </c>
      <c r="GV2" t="s">
        <v>1016</v>
      </c>
      <c r="GW2" t="s">
        <v>1016</v>
      </c>
      <c r="GX2" t="s">
        <v>1016</v>
      </c>
      <c r="GY2" t="s">
        <v>1016</v>
      </c>
      <c r="GZ2" t="s">
        <v>1016</v>
      </c>
      <c r="HA2" t="s">
        <v>1016</v>
      </c>
      <c r="HB2" t="s">
        <v>1016</v>
      </c>
      <c r="HC2" t="s">
        <v>1017</v>
      </c>
      <c r="HD2" t="s">
        <v>1017</v>
      </c>
      <c r="HE2" t="s">
        <v>1017</v>
      </c>
      <c r="HF2" t="s">
        <v>1017</v>
      </c>
      <c r="HG2" t="s">
        <v>1017</v>
      </c>
      <c r="HH2" t="s">
        <v>1017</v>
      </c>
      <c r="HI2" t="s">
        <v>1017</v>
      </c>
      <c r="HJ2" t="s">
        <v>1017</v>
      </c>
      <c r="HK2" t="s">
        <v>1017</v>
      </c>
      <c r="HL2" t="s">
        <v>1017</v>
      </c>
      <c r="HM2" t="s">
        <v>1018</v>
      </c>
      <c r="HN2" t="s">
        <v>1018</v>
      </c>
      <c r="HO2" t="s">
        <v>1018</v>
      </c>
      <c r="HP2" t="s">
        <v>1018</v>
      </c>
      <c r="HQ2" t="s">
        <v>1018</v>
      </c>
      <c r="HR2" t="s">
        <v>1018</v>
      </c>
      <c r="HS2" t="s">
        <v>1018</v>
      </c>
      <c r="HT2" t="s">
        <v>1018</v>
      </c>
      <c r="HU2" t="s">
        <v>1018</v>
      </c>
      <c r="HV2" t="s">
        <v>1018</v>
      </c>
      <c r="HW2" t="s">
        <v>1019</v>
      </c>
      <c r="HX2" t="s">
        <v>1019</v>
      </c>
      <c r="HY2" t="s">
        <v>1019</v>
      </c>
      <c r="HZ2" t="s">
        <v>1019</v>
      </c>
      <c r="IA2" t="s">
        <v>1019</v>
      </c>
      <c r="IB2" t="s">
        <v>1019</v>
      </c>
      <c r="IC2" t="s">
        <v>1019</v>
      </c>
      <c r="ID2" t="s">
        <v>1019</v>
      </c>
      <c r="IE2" t="s">
        <v>1019</v>
      </c>
      <c r="IF2" t="s">
        <v>1019</v>
      </c>
      <c r="IG2" t="s">
        <v>1020</v>
      </c>
      <c r="IH2" t="s">
        <v>1020</v>
      </c>
      <c r="II2" t="s">
        <v>1020</v>
      </c>
      <c r="IJ2" t="s">
        <v>1020</v>
      </c>
      <c r="IK2" t="s">
        <v>1020</v>
      </c>
      <c r="IL2" t="s">
        <v>1020</v>
      </c>
      <c r="IM2" t="s">
        <v>1020</v>
      </c>
      <c r="IN2" t="s">
        <v>1020</v>
      </c>
      <c r="IO2" t="s">
        <v>1020</v>
      </c>
      <c r="IP2" t="s">
        <v>1020</v>
      </c>
      <c r="IQ2" t="s">
        <v>1021</v>
      </c>
      <c r="IR2" t="s">
        <v>1021</v>
      </c>
      <c r="IS2" t="s">
        <v>1021</v>
      </c>
      <c r="IT2" t="s">
        <v>1021</v>
      </c>
      <c r="IU2" t="s">
        <v>1021</v>
      </c>
      <c r="IV2" t="s">
        <v>1021</v>
      </c>
      <c r="IW2" t="s">
        <v>1021</v>
      </c>
      <c r="IX2" t="s">
        <v>1021</v>
      </c>
      <c r="IY2" t="s">
        <v>1021</v>
      </c>
      <c r="IZ2" t="s">
        <v>1021</v>
      </c>
      <c r="JA2" t="s">
        <v>1022</v>
      </c>
      <c r="JB2" t="s">
        <v>1022</v>
      </c>
      <c r="JC2" t="s">
        <v>1022</v>
      </c>
      <c r="JD2" t="s">
        <v>1022</v>
      </c>
      <c r="JE2" t="s">
        <v>1022</v>
      </c>
      <c r="JF2" t="s">
        <v>1022</v>
      </c>
      <c r="JG2" t="s">
        <v>1022</v>
      </c>
      <c r="JH2" t="s">
        <v>1022</v>
      </c>
      <c r="JI2" t="s">
        <v>1022</v>
      </c>
      <c r="JJ2" t="s">
        <v>1022</v>
      </c>
      <c r="JK2" t="s">
        <v>1023</v>
      </c>
      <c r="JL2" t="s">
        <v>1023</v>
      </c>
      <c r="JM2" t="s">
        <v>1023</v>
      </c>
      <c r="JN2" t="s">
        <v>1023</v>
      </c>
      <c r="JO2" t="s">
        <v>1023</v>
      </c>
      <c r="JP2" t="s">
        <v>1023</v>
      </c>
      <c r="JQ2" t="s">
        <v>1023</v>
      </c>
      <c r="JR2" t="s">
        <v>1023</v>
      </c>
      <c r="JS2" t="s">
        <v>1023</v>
      </c>
      <c r="JT2" t="s">
        <v>1023</v>
      </c>
      <c r="JU2" t="s">
        <v>1024</v>
      </c>
      <c r="JV2" t="s">
        <v>1024</v>
      </c>
      <c r="JW2" t="s">
        <v>1024</v>
      </c>
      <c r="JX2" t="s">
        <v>1024</v>
      </c>
      <c r="JY2" t="s">
        <v>1024</v>
      </c>
      <c r="JZ2" t="s">
        <v>1024</v>
      </c>
      <c r="KA2" t="s">
        <v>1024</v>
      </c>
      <c r="KB2" t="s">
        <v>1024</v>
      </c>
      <c r="KC2" t="s">
        <v>1024</v>
      </c>
      <c r="KD2" t="s">
        <v>1024</v>
      </c>
      <c r="KE2" t="s">
        <v>1025</v>
      </c>
      <c r="KF2" t="s">
        <v>1025</v>
      </c>
      <c r="KG2" t="s">
        <v>1025</v>
      </c>
      <c r="KH2" t="s">
        <v>1025</v>
      </c>
      <c r="KI2" t="s">
        <v>1025</v>
      </c>
      <c r="KJ2" t="s">
        <v>1025</v>
      </c>
      <c r="KK2" t="s">
        <v>1025</v>
      </c>
      <c r="KL2" t="s">
        <v>1025</v>
      </c>
      <c r="KM2" t="s">
        <v>1025</v>
      </c>
      <c r="KN2" t="s">
        <v>1025</v>
      </c>
      <c r="KO2" t="s">
        <v>1026</v>
      </c>
      <c r="KP2" t="s">
        <v>1026</v>
      </c>
      <c r="KQ2" t="s">
        <v>1026</v>
      </c>
      <c r="KR2" t="s">
        <v>1026</v>
      </c>
      <c r="KS2" t="s">
        <v>1026</v>
      </c>
      <c r="KT2" t="s">
        <v>1026</v>
      </c>
      <c r="KU2" t="s">
        <v>1026</v>
      </c>
      <c r="KV2" t="s">
        <v>1026</v>
      </c>
      <c r="KW2" t="s">
        <v>1026</v>
      </c>
      <c r="KX2" t="s">
        <v>1026</v>
      </c>
      <c r="KY2" t="s">
        <v>1027</v>
      </c>
      <c r="KZ2" t="s">
        <v>1027</v>
      </c>
      <c r="LA2" t="s">
        <v>1027</v>
      </c>
      <c r="LB2" t="s">
        <v>1027</v>
      </c>
      <c r="LC2" t="s">
        <v>1027</v>
      </c>
      <c r="LD2" t="s">
        <v>1027</v>
      </c>
      <c r="LE2" t="s">
        <v>1027</v>
      </c>
      <c r="LF2" t="s">
        <v>1027</v>
      </c>
      <c r="LG2" t="s">
        <v>1027</v>
      </c>
      <c r="LH2" t="s">
        <v>1027</v>
      </c>
      <c r="LI2" t="s">
        <v>1028</v>
      </c>
      <c r="LJ2" t="s">
        <v>1028</v>
      </c>
      <c r="LK2" t="s">
        <v>1028</v>
      </c>
      <c r="LL2" t="s">
        <v>1028</v>
      </c>
      <c r="LM2" t="s">
        <v>1028</v>
      </c>
      <c r="LN2" t="s">
        <v>1028</v>
      </c>
      <c r="LO2" t="s">
        <v>1028</v>
      </c>
      <c r="LP2" t="s">
        <v>1028</v>
      </c>
      <c r="LQ2" t="s">
        <v>1028</v>
      </c>
      <c r="LR2" t="s">
        <v>1028</v>
      </c>
      <c r="LS2" t="s">
        <v>1029</v>
      </c>
      <c r="LT2" t="s">
        <v>1029</v>
      </c>
      <c r="LU2" t="s">
        <v>1029</v>
      </c>
      <c r="LV2" t="s">
        <v>1029</v>
      </c>
      <c r="LW2" t="s">
        <v>1029</v>
      </c>
      <c r="LX2" t="s">
        <v>1029</v>
      </c>
      <c r="LY2" t="s">
        <v>1029</v>
      </c>
      <c r="LZ2" t="s">
        <v>1029</v>
      </c>
      <c r="MA2" t="s">
        <v>1029</v>
      </c>
      <c r="MB2" t="s">
        <v>1029</v>
      </c>
      <c r="MC2" t="s">
        <v>1030</v>
      </c>
      <c r="MD2" t="s">
        <v>1030</v>
      </c>
      <c r="ME2" t="s">
        <v>1030</v>
      </c>
      <c r="MF2" t="s">
        <v>1030</v>
      </c>
      <c r="MG2" t="s">
        <v>1030</v>
      </c>
      <c r="MH2" t="s">
        <v>1030</v>
      </c>
      <c r="MI2" t="s">
        <v>1030</v>
      </c>
      <c r="MJ2" t="s">
        <v>1030</v>
      </c>
      <c r="MK2" t="s">
        <v>1030</v>
      </c>
      <c r="ML2" t="s">
        <v>1030</v>
      </c>
      <c r="MM2" t="s">
        <v>1031</v>
      </c>
      <c r="MN2" t="s">
        <v>1031</v>
      </c>
      <c r="MO2" t="s">
        <v>1031</v>
      </c>
      <c r="MP2" t="s">
        <v>1031</v>
      </c>
      <c r="MQ2" t="s">
        <v>1031</v>
      </c>
      <c r="MR2" t="s">
        <v>1031</v>
      </c>
      <c r="MS2" t="s">
        <v>1031</v>
      </c>
      <c r="MT2" t="s">
        <v>1031</v>
      </c>
      <c r="MU2" t="s">
        <v>1031</v>
      </c>
      <c r="MV2" t="s">
        <v>1031</v>
      </c>
      <c r="MW2" t="s">
        <v>1032</v>
      </c>
      <c r="MX2" t="s">
        <v>1032</v>
      </c>
      <c r="MY2" t="s">
        <v>1032</v>
      </c>
      <c r="MZ2" t="s">
        <v>1032</v>
      </c>
      <c r="NA2" t="s">
        <v>1032</v>
      </c>
      <c r="NB2" t="s">
        <v>1032</v>
      </c>
      <c r="NC2" t="s">
        <v>1032</v>
      </c>
      <c r="ND2" t="s">
        <v>1032</v>
      </c>
      <c r="NE2" t="s">
        <v>1032</v>
      </c>
      <c r="NF2" t="s">
        <v>1032</v>
      </c>
      <c r="NG2" t="s">
        <v>1033</v>
      </c>
      <c r="NH2" t="s">
        <v>1033</v>
      </c>
      <c r="NI2" t="s">
        <v>1033</v>
      </c>
      <c r="NJ2" t="s">
        <v>1033</v>
      </c>
      <c r="NK2" t="s">
        <v>1033</v>
      </c>
      <c r="NL2" t="s">
        <v>1033</v>
      </c>
      <c r="NM2" t="s">
        <v>1033</v>
      </c>
      <c r="NN2" t="s">
        <v>1033</v>
      </c>
      <c r="NO2" t="s">
        <v>1033</v>
      </c>
      <c r="NP2" t="s">
        <v>1033</v>
      </c>
      <c r="NQ2" t="s">
        <v>1034</v>
      </c>
      <c r="NR2" t="s">
        <v>1034</v>
      </c>
      <c r="NS2" t="s">
        <v>1034</v>
      </c>
      <c r="NT2" t="s">
        <v>1034</v>
      </c>
      <c r="NU2" t="s">
        <v>1034</v>
      </c>
      <c r="NV2" t="s">
        <v>1034</v>
      </c>
      <c r="NW2" t="s">
        <v>1034</v>
      </c>
      <c r="NX2" t="s">
        <v>1034</v>
      </c>
      <c r="NY2" t="s">
        <v>1034</v>
      </c>
      <c r="NZ2" t="s">
        <v>1034</v>
      </c>
      <c r="OA2" t="s">
        <v>1035</v>
      </c>
      <c r="OB2" t="s">
        <v>1035</v>
      </c>
      <c r="OC2" t="s">
        <v>1035</v>
      </c>
      <c r="OD2" t="s">
        <v>1035</v>
      </c>
      <c r="OE2" t="s">
        <v>1035</v>
      </c>
      <c r="OF2" t="s">
        <v>1035</v>
      </c>
      <c r="OG2" t="s">
        <v>1035</v>
      </c>
      <c r="OH2" t="s">
        <v>1035</v>
      </c>
      <c r="OI2" t="s">
        <v>1035</v>
      </c>
      <c r="OJ2" t="s">
        <v>1035</v>
      </c>
      <c r="OK2" t="s">
        <v>1036</v>
      </c>
      <c r="OL2" t="s">
        <v>1036</v>
      </c>
      <c r="OM2" t="s">
        <v>1036</v>
      </c>
      <c r="ON2" t="s">
        <v>1036</v>
      </c>
      <c r="OO2" t="s">
        <v>1036</v>
      </c>
      <c r="OP2" t="s">
        <v>1036</v>
      </c>
      <c r="OQ2" t="s">
        <v>1036</v>
      </c>
      <c r="OR2" t="s">
        <v>1036</v>
      </c>
      <c r="OS2" t="s">
        <v>1036</v>
      </c>
      <c r="OT2" t="s">
        <v>1036</v>
      </c>
      <c r="OU2" t="s">
        <v>1037</v>
      </c>
      <c r="OV2" t="s">
        <v>1037</v>
      </c>
      <c r="OW2" t="s">
        <v>1037</v>
      </c>
      <c r="OX2" t="s">
        <v>1037</v>
      </c>
      <c r="OY2" t="s">
        <v>1037</v>
      </c>
      <c r="OZ2" t="s">
        <v>1037</v>
      </c>
      <c r="PA2" t="s">
        <v>1037</v>
      </c>
      <c r="PB2" t="s">
        <v>1037</v>
      </c>
      <c r="PC2" t="s">
        <v>1037</v>
      </c>
      <c r="PD2" t="s">
        <v>1037</v>
      </c>
      <c r="PE2" t="s">
        <v>1038</v>
      </c>
      <c r="PF2" t="s">
        <v>1038</v>
      </c>
      <c r="PG2" t="s">
        <v>1038</v>
      </c>
      <c r="PH2" t="s">
        <v>1038</v>
      </c>
      <c r="PI2" t="s">
        <v>1038</v>
      </c>
      <c r="PJ2" t="s">
        <v>1038</v>
      </c>
      <c r="PK2" t="s">
        <v>1038</v>
      </c>
      <c r="PL2" t="s">
        <v>1038</v>
      </c>
      <c r="PM2" t="s">
        <v>1038</v>
      </c>
      <c r="PN2" t="s">
        <v>1038</v>
      </c>
      <c r="PO2" t="s">
        <v>1039</v>
      </c>
      <c r="PP2" t="s">
        <v>1039</v>
      </c>
      <c r="PQ2" t="s">
        <v>1039</v>
      </c>
      <c r="PR2" t="s">
        <v>1039</v>
      </c>
      <c r="PS2" t="s">
        <v>1039</v>
      </c>
      <c r="PT2" t="s">
        <v>1039</v>
      </c>
      <c r="PU2" t="s">
        <v>1039</v>
      </c>
      <c r="PV2" t="s">
        <v>1039</v>
      </c>
      <c r="PW2" t="s">
        <v>1039</v>
      </c>
      <c r="PX2" t="s">
        <v>1039</v>
      </c>
      <c r="PY2" t="s">
        <v>1040</v>
      </c>
      <c r="PZ2" t="s">
        <v>1040</v>
      </c>
      <c r="QA2" t="s">
        <v>1040</v>
      </c>
      <c r="QB2" t="s">
        <v>1040</v>
      </c>
      <c r="QC2" t="s">
        <v>1040</v>
      </c>
      <c r="QD2" t="s">
        <v>1040</v>
      </c>
      <c r="QE2" t="s">
        <v>1040</v>
      </c>
      <c r="QF2" t="s">
        <v>1040</v>
      </c>
      <c r="QG2" t="s">
        <v>1040</v>
      </c>
      <c r="QH2" t="s">
        <v>1040</v>
      </c>
      <c r="QI2" t="s">
        <v>1041</v>
      </c>
      <c r="QJ2" t="s">
        <v>1041</v>
      </c>
      <c r="QK2" t="s">
        <v>1041</v>
      </c>
      <c r="QL2" t="s">
        <v>1041</v>
      </c>
      <c r="QM2" t="s">
        <v>1041</v>
      </c>
      <c r="QN2" t="s">
        <v>1041</v>
      </c>
      <c r="QO2" t="s">
        <v>1041</v>
      </c>
      <c r="QP2" t="s">
        <v>1041</v>
      </c>
      <c r="QQ2" t="s">
        <v>1041</v>
      </c>
      <c r="QR2" t="s">
        <v>1041</v>
      </c>
      <c r="QS2" t="s">
        <v>1042</v>
      </c>
      <c r="QT2" t="s">
        <v>1042</v>
      </c>
      <c r="QU2" t="s">
        <v>1042</v>
      </c>
      <c r="QV2" t="s">
        <v>1042</v>
      </c>
      <c r="QW2" t="s">
        <v>1042</v>
      </c>
      <c r="QX2" t="s">
        <v>1042</v>
      </c>
      <c r="QY2" t="s">
        <v>1042</v>
      </c>
      <c r="QZ2" t="s">
        <v>1042</v>
      </c>
      <c r="RA2" t="s">
        <v>1042</v>
      </c>
      <c r="RB2" t="s">
        <v>1042</v>
      </c>
      <c r="RC2" t="s">
        <v>1043</v>
      </c>
      <c r="RD2" t="s">
        <v>1043</v>
      </c>
      <c r="RE2" t="s">
        <v>1043</v>
      </c>
      <c r="RF2" t="s">
        <v>1043</v>
      </c>
      <c r="RG2" t="s">
        <v>1043</v>
      </c>
      <c r="RH2" t="s">
        <v>1043</v>
      </c>
      <c r="RI2" t="s">
        <v>1043</v>
      </c>
      <c r="RJ2" t="s">
        <v>1043</v>
      </c>
      <c r="RK2" t="s">
        <v>1043</v>
      </c>
      <c r="RL2" t="s">
        <v>1043</v>
      </c>
      <c r="RM2" t="s">
        <v>1044</v>
      </c>
      <c r="RN2" t="s">
        <v>1044</v>
      </c>
      <c r="RO2" t="s">
        <v>1044</v>
      </c>
      <c r="RP2" t="s">
        <v>1044</v>
      </c>
      <c r="RQ2" t="s">
        <v>1044</v>
      </c>
      <c r="RR2" t="s">
        <v>1044</v>
      </c>
      <c r="RS2" t="s">
        <v>1044</v>
      </c>
      <c r="RT2" t="s">
        <v>1044</v>
      </c>
      <c r="RU2" t="s">
        <v>1044</v>
      </c>
      <c r="RV2" t="s">
        <v>1044</v>
      </c>
      <c r="RW2" t="s">
        <v>1045</v>
      </c>
      <c r="RX2" t="s">
        <v>1045</v>
      </c>
      <c r="RY2" t="s">
        <v>1045</v>
      </c>
      <c r="RZ2" t="s">
        <v>1045</v>
      </c>
      <c r="SA2" t="s">
        <v>1045</v>
      </c>
      <c r="SB2" t="s">
        <v>1045</v>
      </c>
      <c r="SC2" t="s">
        <v>1045</v>
      </c>
      <c r="SD2" t="s">
        <v>1045</v>
      </c>
      <c r="SE2" t="s">
        <v>1045</v>
      </c>
      <c r="SF2" t="s">
        <v>1045</v>
      </c>
      <c r="SG2" t="s">
        <v>1046</v>
      </c>
      <c r="SH2" t="s">
        <v>1046</v>
      </c>
      <c r="SI2" t="s">
        <v>1046</v>
      </c>
      <c r="SJ2" t="s">
        <v>1046</v>
      </c>
      <c r="SK2" t="s">
        <v>1046</v>
      </c>
      <c r="SL2" t="s">
        <v>1046</v>
      </c>
      <c r="SM2" t="s">
        <v>1046</v>
      </c>
      <c r="SN2" t="s">
        <v>1046</v>
      </c>
      <c r="SO2" t="s">
        <v>1046</v>
      </c>
      <c r="SP2" t="s">
        <v>1046</v>
      </c>
      <c r="SQ2" t="s">
        <v>1047</v>
      </c>
      <c r="SR2" t="s">
        <v>1047</v>
      </c>
      <c r="SS2" t="s">
        <v>1047</v>
      </c>
      <c r="ST2" t="s">
        <v>1047</v>
      </c>
      <c r="SU2" t="s">
        <v>1047</v>
      </c>
      <c r="SV2" t="s">
        <v>1047</v>
      </c>
      <c r="SW2" t="s">
        <v>1047</v>
      </c>
      <c r="SX2" t="s">
        <v>1047</v>
      </c>
      <c r="SY2" t="s">
        <v>1047</v>
      </c>
      <c r="SZ2" t="s">
        <v>1047</v>
      </c>
      <c r="TA2" t="s">
        <v>1048</v>
      </c>
      <c r="TB2" t="s">
        <v>1048</v>
      </c>
      <c r="TC2" t="s">
        <v>1048</v>
      </c>
      <c r="TD2" t="s">
        <v>1048</v>
      </c>
      <c r="TE2" t="s">
        <v>1048</v>
      </c>
      <c r="TF2" t="s">
        <v>1048</v>
      </c>
      <c r="TG2" t="s">
        <v>1048</v>
      </c>
      <c r="TH2" t="s">
        <v>1048</v>
      </c>
      <c r="TI2" t="s">
        <v>1048</v>
      </c>
      <c r="TJ2" t="s">
        <v>1048</v>
      </c>
      <c r="TK2" t="s">
        <v>1049</v>
      </c>
      <c r="TL2" t="s">
        <v>1049</v>
      </c>
      <c r="TM2" t="s">
        <v>1049</v>
      </c>
      <c r="TN2" t="s">
        <v>1049</v>
      </c>
      <c r="TO2" t="s">
        <v>1049</v>
      </c>
      <c r="TP2" t="s">
        <v>1049</v>
      </c>
      <c r="TQ2" t="s">
        <v>1049</v>
      </c>
      <c r="TR2" t="s">
        <v>1049</v>
      </c>
      <c r="TS2" t="s">
        <v>1049</v>
      </c>
      <c r="TT2" t="s">
        <v>1049</v>
      </c>
      <c r="TU2" t="s">
        <v>1050</v>
      </c>
      <c r="TV2" t="s">
        <v>1050</v>
      </c>
      <c r="TW2" t="s">
        <v>1050</v>
      </c>
      <c r="TX2" t="s">
        <v>1050</v>
      </c>
      <c r="TY2" t="s">
        <v>1050</v>
      </c>
      <c r="TZ2" t="s">
        <v>1050</v>
      </c>
      <c r="UA2" t="s">
        <v>1050</v>
      </c>
      <c r="UB2" t="s">
        <v>1050</v>
      </c>
      <c r="UC2" t="s">
        <v>1050</v>
      </c>
      <c r="UD2" t="s">
        <v>1050</v>
      </c>
      <c r="UE2" t="s">
        <v>1051</v>
      </c>
      <c r="UF2" t="s">
        <v>1051</v>
      </c>
      <c r="UG2" t="s">
        <v>1051</v>
      </c>
      <c r="UH2" t="s">
        <v>1051</v>
      </c>
      <c r="UI2" t="s">
        <v>1051</v>
      </c>
      <c r="UJ2" t="s">
        <v>1051</v>
      </c>
      <c r="UK2" t="s">
        <v>1051</v>
      </c>
      <c r="UL2" t="s">
        <v>1051</v>
      </c>
      <c r="UM2" t="s">
        <v>1051</v>
      </c>
      <c r="UN2" t="s">
        <v>1051</v>
      </c>
      <c r="UO2" t="s">
        <v>1052</v>
      </c>
      <c r="UP2" t="s">
        <v>1052</v>
      </c>
      <c r="UQ2" t="s">
        <v>1052</v>
      </c>
      <c r="UR2" t="s">
        <v>1052</v>
      </c>
      <c r="US2" t="s">
        <v>1052</v>
      </c>
      <c r="UT2" t="s">
        <v>1052</v>
      </c>
      <c r="UU2" t="s">
        <v>1052</v>
      </c>
      <c r="UV2" t="s">
        <v>1052</v>
      </c>
      <c r="UW2" t="s">
        <v>1052</v>
      </c>
      <c r="UX2" t="s">
        <v>1052</v>
      </c>
      <c r="UY2" t="s">
        <v>1053</v>
      </c>
      <c r="UZ2" t="s">
        <v>1053</v>
      </c>
      <c r="VA2" t="s">
        <v>1053</v>
      </c>
      <c r="VB2" t="s">
        <v>1053</v>
      </c>
      <c r="VC2" t="s">
        <v>1053</v>
      </c>
      <c r="VD2" t="s">
        <v>1053</v>
      </c>
      <c r="VE2" t="s">
        <v>1053</v>
      </c>
      <c r="VF2" t="s">
        <v>1053</v>
      </c>
      <c r="VG2" t="s">
        <v>1053</v>
      </c>
      <c r="VH2" t="s">
        <v>1053</v>
      </c>
      <c r="VI2" t="s">
        <v>1054</v>
      </c>
      <c r="VJ2" t="s">
        <v>1054</v>
      </c>
      <c r="VK2" t="s">
        <v>1054</v>
      </c>
      <c r="VL2" t="s">
        <v>1054</v>
      </c>
      <c r="VM2" t="s">
        <v>1054</v>
      </c>
      <c r="VN2" t="s">
        <v>1054</v>
      </c>
      <c r="VO2" t="s">
        <v>1054</v>
      </c>
      <c r="VP2" t="s">
        <v>1054</v>
      </c>
      <c r="VQ2" t="s">
        <v>1054</v>
      </c>
      <c r="VR2" t="s">
        <v>1054</v>
      </c>
      <c r="VS2" t="s">
        <v>1055</v>
      </c>
      <c r="VT2" t="s">
        <v>1055</v>
      </c>
      <c r="VU2" t="s">
        <v>1055</v>
      </c>
      <c r="VV2" t="s">
        <v>1055</v>
      </c>
      <c r="VW2" t="s">
        <v>1055</v>
      </c>
      <c r="VX2" t="s">
        <v>1055</v>
      </c>
      <c r="VY2" t="s">
        <v>1055</v>
      </c>
      <c r="VZ2" t="s">
        <v>1055</v>
      </c>
      <c r="WA2" t="s">
        <v>1055</v>
      </c>
      <c r="WB2" t="s">
        <v>1055</v>
      </c>
      <c r="WC2" t="s">
        <v>1056</v>
      </c>
      <c r="WD2" t="s">
        <v>1056</v>
      </c>
      <c r="WE2" t="s">
        <v>1056</v>
      </c>
      <c r="WF2" t="s">
        <v>1056</v>
      </c>
      <c r="WG2" t="s">
        <v>1056</v>
      </c>
      <c r="WH2" t="s">
        <v>1056</v>
      </c>
      <c r="WI2" t="s">
        <v>1056</v>
      </c>
      <c r="WJ2" t="s">
        <v>1056</v>
      </c>
      <c r="WK2" t="s">
        <v>1056</v>
      </c>
      <c r="WL2" t="s">
        <v>1056</v>
      </c>
      <c r="WM2" t="s">
        <v>1057</v>
      </c>
      <c r="WN2" t="s">
        <v>1057</v>
      </c>
      <c r="WO2" t="s">
        <v>1057</v>
      </c>
      <c r="WP2" t="s">
        <v>1057</v>
      </c>
      <c r="WQ2" t="s">
        <v>1057</v>
      </c>
      <c r="WR2" t="s">
        <v>1057</v>
      </c>
      <c r="WS2" t="s">
        <v>1057</v>
      </c>
      <c r="WT2" t="s">
        <v>1057</v>
      </c>
      <c r="WU2" t="s">
        <v>1057</v>
      </c>
      <c r="WV2" t="s">
        <v>1057</v>
      </c>
      <c r="WW2" t="s">
        <v>1058</v>
      </c>
      <c r="WX2" t="s">
        <v>1058</v>
      </c>
      <c r="WY2" t="s">
        <v>1058</v>
      </c>
      <c r="WZ2" t="s">
        <v>1058</v>
      </c>
      <c r="XA2" t="s">
        <v>1058</v>
      </c>
      <c r="XB2" t="s">
        <v>1058</v>
      </c>
      <c r="XC2" t="s">
        <v>1058</v>
      </c>
      <c r="XD2" t="s">
        <v>1058</v>
      </c>
      <c r="XE2" t="s">
        <v>1058</v>
      </c>
      <c r="XF2" t="s">
        <v>1058</v>
      </c>
      <c r="XG2" t="s">
        <v>1059</v>
      </c>
      <c r="XH2" t="s">
        <v>1059</v>
      </c>
      <c r="XI2" t="s">
        <v>1059</v>
      </c>
      <c r="XJ2" t="s">
        <v>1059</v>
      </c>
      <c r="XK2" t="s">
        <v>1059</v>
      </c>
      <c r="XL2" t="s">
        <v>1059</v>
      </c>
      <c r="XM2" t="s">
        <v>1059</v>
      </c>
      <c r="XN2" t="s">
        <v>1059</v>
      </c>
      <c r="XO2" t="s">
        <v>1059</v>
      </c>
      <c r="XP2" t="s">
        <v>1059</v>
      </c>
      <c r="XQ2" t="s">
        <v>1060</v>
      </c>
      <c r="XR2" t="s">
        <v>1060</v>
      </c>
      <c r="XS2" t="s">
        <v>1060</v>
      </c>
      <c r="XT2" t="s">
        <v>1060</v>
      </c>
      <c r="XU2" t="s">
        <v>1060</v>
      </c>
      <c r="XV2" t="s">
        <v>1060</v>
      </c>
      <c r="XW2" t="s">
        <v>1060</v>
      </c>
      <c r="XX2" t="s">
        <v>1060</v>
      </c>
      <c r="XY2" t="s">
        <v>1060</v>
      </c>
      <c r="XZ2" t="s">
        <v>1060</v>
      </c>
      <c r="YA2" t="s">
        <v>1061</v>
      </c>
      <c r="YB2" t="s">
        <v>1061</v>
      </c>
      <c r="YC2" t="s">
        <v>1061</v>
      </c>
      <c r="YD2" t="s">
        <v>1061</v>
      </c>
      <c r="YE2" t="s">
        <v>1061</v>
      </c>
      <c r="YF2" t="s">
        <v>1061</v>
      </c>
      <c r="YG2" t="s">
        <v>1061</v>
      </c>
      <c r="YH2" t="s">
        <v>1061</v>
      </c>
      <c r="YI2" t="s">
        <v>1061</v>
      </c>
      <c r="YJ2" t="s">
        <v>1061</v>
      </c>
      <c r="YK2" t="s">
        <v>1062</v>
      </c>
      <c r="YL2" t="s">
        <v>1062</v>
      </c>
      <c r="YM2" t="s">
        <v>1062</v>
      </c>
      <c r="YN2" t="s">
        <v>1062</v>
      </c>
      <c r="YO2" t="s">
        <v>1062</v>
      </c>
      <c r="YP2" t="s">
        <v>1062</v>
      </c>
      <c r="YQ2" t="s">
        <v>1062</v>
      </c>
      <c r="YR2" t="s">
        <v>1062</v>
      </c>
      <c r="YS2" t="s">
        <v>1062</v>
      </c>
      <c r="YT2" t="s">
        <v>1062</v>
      </c>
      <c r="YU2" t="s">
        <v>1063</v>
      </c>
      <c r="YV2" t="s">
        <v>1063</v>
      </c>
      <c r="YW2" t="s">
        <v>1063</v>
      </c>
      <c r="YX2" t="s">
        <v>1063</v>
      </c>
      <c r="YY2" t="s">
        <v>1063</v>
      </c>
      <c r="YZ2" t="s">
        <v>1063</v>
      </c>
      <c r="ZA2" t="s">
        <v>1063</v>
      </c>
      <c r="ZB2" t="s">
        <v>1063</v>
      </c>
      <c r="ZC2" t="s">
        <v>1063</v>
      </c>
      <c r="ZD2" t="s">
        <v>1063</v>
      </c>
      <c r="ZE2" t="s">
        <v>1064</v>
      </c>
      <c r="ZF2" t="s">
        <v>1064</v>
      </c>
      <c r="ZG2" t="s">
        <v>1064</v>
      </c>
      <c r="ZH2" t="s">
        <v>1064</v>
      </c>
      <c r="ZI2" t="s">
        <v>1064</v>
      </c>
      <c r="ZJ2" t="s">
        <v>1064</v>
      </c>
      <c r="ZK2" t="s">
        <v>1064</v>
      </c>
      <c r="ZL2" t="s">
        <v>1064</v>
      </c>
      <c r="ZM2" t="s">
        <v>1064</v>
      </c>
      <c r="ZN2" t="s">
        <v>1064</v>
      </c>
      <c r="ZO2" t="s">
        <v>1065</v>
      </c>
      <c r="ZP2" t="s">
        <v>1065</v>
      </c>
      <c r="ZQ2" t="s">
        <v>1065</v>
      </c>
      <c r="ZR2" t="s">
        <v>1065</v>
      </c>
      <c r="ZS2" t="s">
        <v>1065</v>
      </c>
      <c r="ZT2" t="s">
        <v>1065</v>
      </c>
      <c r="ZU2" t="s">
        <v>1065</v>
      </c>
      <c r="ZV2" t="s">
        <v>1065</v>
      </c>
      <c r="ZW2" t="s">
        <v>1065</v>
      </c>
      <c r="ZX2" t="s">
        <v>1065</v>
      </c>
      <c r="ZY2" t="s">
        <v>1066</v>
      </c>
      <c r="ZZ2" t="s">
        <v>1066</v>
      </c>
      <c r="AAA2" t="s">
        <v>1066</v>
      </c>
      <c r="AAB2" t="s">
        <v>1066</v>
      </c>
      <c r="AAC2" t="s">
        <v>1066</v>
      </c>
      <c r="AAD2" t="s">
        <v>1066</v>
      </c>
      <c r="AAE2" t="s">
        <v>1066</v>
      </c>
      <c r="AAF2" t="s">
        <v>1066</v>
      </c>
      <c r="AAG2" t="s">
        <v>1066</v>
      </c>
      <c r="AAH2" t="s">
        <v>1066</v>
      </c>
      <c r="AAI2" t="s">
        <v>1067</v>
      </c>
      <c r="AAJ2" t="s">
        <v>1067</v>
      </c>
      <c r="AAK2" t="s">
        <v>1067</v>
      </c>
      <c r="AAL2" t="s">
        <v>1067</v>
      </c>
      <c r="AAM2" t="s">
        <v>1067</v>
      </c>
      <c r="AAN2" t="s">
        <v>1067</v>
      </c>
      <c r="AAO2" t="s">
        <v>1067</v>
      </c>
      <c r="AAP2" t="s">
        <v>1067</v>
      </c>
      <c r="AAQ2" t="s">
        <v>1067</v>
      </c>
      <c r="AAR2" t="s">
        <v>1067</v>
      </c>
      <c r="AAS2" t="s">
        <v>1068</v>
      </c>
      <c r="AAT2" t="s">
        <v>1068</v>
      </c>
      <c r="AAU2" t="s">
        <v>1068</v>
      </c>
      <c r="AAV2" t="s">
        <v>1068</v>
      </c>
      <c r="AAW2" t="s">
        <v>1068</v>
      </c>
      <c r="AAX2" t="s">
        <v>1068</v>
      </c>
      <c r="AAY2" t="s">
        <v>1068</v>
      </c>
      <c r="AAZ2" t="s">
        <v>1068</v>
      </c>
      <c r="ABA2" t="s">
        <v>1068</v>
      </c>
      <c r="ABB2" t="s">
        <v>1068</v>
      </c>
      <c r="ABC2" t="s">
        <v>1069</v>
      </c>
      <c r="ABD2" t="s">
        <v>1069</v>
      </c>
      <c r="ABE2" t="s">
        <v>1069</v>
      </c>
      <c r="ABF2" t="s">
        <v>1069</v>
      </c>
      <c r="ABG2" t="s">
        <v>1069</v>
      </c>
      <c r="ABH2" t="s">
        <v>1069</v>
      </c>
      <c r="ABI2" t="s">
        <v>1069</v>
      </c>
      <c r="ABJ2" t="s">
        <v>1069</v>
      </c>
      <c r="ABK2" t="s">
        <v>1069</v>
      </c>
      <c r="ABL2" t="s">
        <v>1069</v>
      </c>
      <c r="ABM2" t="s">
        <v>1070</v>
      </c>
      <c r="ABN2" t="s">
        <v>1070</v>
      </c>
      <c r="ABO2" t="s">
        <v>1070</v>
      </c>
      <c r="ABP2" t="s">
        <v>1070</v>
      </c>
      <c r="ABQ2" t="s">
        <v>1070</v>
      </c>
      <c r="ABR2" t="s">
        <v>1070</v>
      </c>
      <c r="ABS2" t="s">
        <v>1070</v>
      </c>
      <c r="ABT2" t="s">
        <v>1070</v>
      </c>
      <c r="ABU2" t="s">
        <v>1070</v>
      </c>
      <c r="ABV2" t="s">
        <v>1070</v>
      </c>
      <c r="ABW2" t="s">
        <v>1071</v>
      </c>
      <c r="ABX2" t="s">
        <v>1071</v>
      </c>
      <c r="ABY2" t="s">
        <v>1071</v>
      </c>
      <c r="ABZ2" t="s">
        <v>1071</v>
      </c>
      <c r="ACA2" t="s">
        <v>1071</v>
      </c>
      <c r="ACB2" t="s">
        <v>1071</v>
      </c>
      <c r="ACC2" t="s">
        <v>1071</v>
      </c>
      <c r="ACD2" t="s">
        <v>1071</v>
      </c>
      <c r="ACE2" t="s">
        <v>1071</v>
      </c>
      <c r="ACF2" t="s">
        <v>1071</v>
      </c>
      <c r="ACG2" t="s">
        <v>1072</v>
      </c>
      <c r="ACH2" t="s">
        <v>1072</v>
      </c>
      <c r="ACI2" t="s">
        <v>1072</v>
      </c>
      <c r="ACJ2" t="s">
        <v>1072</v>
      </c>
      <c r="ACK2" t="s">
        <v>1072</v>
      </c>
      <c r="ACL2" t="s">
        <v>1072</v>
      </c>
      <c r="ACM2" t="s">
        <v>1072</v>
      </c>
      <c r="ACN2" t="s">
        <v>1072</v>
      </c>
      <c r="ACO2" t="s">
        <v>1072</v>
      </c>
      <c r="ACP2" t="s">
        <v>1072</v>
      </c>
      <c r="ACQ2" t="s">
        <v>1073</v>
      </c>
      <c r="ACR2" t="s">
        <v>1073</v>
      </c>
      <c r="ACS2" t="s">
        <v>1073</v>
      </c>
      <c r="ACT2" t="s">
        <v>1073</v>
      </c>
      <c r="ACU2" t="s">
        <v>1073</v>
      </c>
      <c r="ACV2" t="s">
        <v>1073</v>
      </c>
      <c r="ACW2" t="s">
        <v>1073</v>
      </c>
      <c r="ACX2" t="s">
        <v>1073</v>
      </c>
      <c r="ACY2" t="s">
        <v>1073</v>
      </c>
      <c r="ACZ2" t="s">
        <v>1073</v>
      </c>
      <c r="ADA2" t="s">
        <v>1074</v>
      </c>
      <c r="ADB2" t="s">
        <v>1074</v>
      </c>
      <c r="ADC2" t="s">
        <v>1074</v>
      </c>
      <c r="ADD2" t="s">
        <v>1074</v>
      </c>
      <c r="ADE2" t="s">
        <v>1074</v>
      </c>
      <c r="ADF2" t="s">
        <v>1074</v>
      </c>
      <c r="ADG2" t="s">
        <v>1074</v>
      </c>
      <c r="ADH2" t="s">
        <v>1074</v>
      </c>
      <c r="ADI2" t="s">
        <v>1074</v>
      </c>
      <c r="ADJ2" t="s">
        <v>1074</v>
      </c>
      <c r="ADK2" t="s">
        <v>1075</v>
      </c>
      <c r="ADL2" t="s">
        <v>1075</v>
      </c>
      <c r="ADM2" t="s">
        <v>1075</v>
      </c>
      <c r="ADN2" t="s">
        <v>1075</v>
      </c>
      <c r="ADO2" t="s">
        <v>1075</v>
      </c>
      <c r="ADP2" t="s">
        <v>1075</v>
      </c>
      <c r="ADQ2" t="s">
        <v>1075</v>
      </c>
      <c r="ADR2" t="s">
        <v>1075</v>
      </c>
      <c r="ADS2" t="s">
        <v>1075</v>
      </c>
      <c r="ADT2" t="s">
        <v>1075</v>
      </c>
      <c r="ADU2" t="s">
        <v>1076</v>
      </c>
      <c r="ADV2" t="s">
        <v>1076</v>
      </c>
      <c r="ADW2" t="s">
        <v>1076</v>
      </c>
      <c r="ADX2" t="s">
        <v>1076</v>
      </c>
      <c r="ADY2" t="s">
        <v>1076</v>
      </c>
      <c r="ADZ2" t="s">
        <v>1076</v>
      </c>
      <c r="AEA2" t="s">
        <v>1076</v>
      </c>
      <c r="AEB2" t="s">
        <v>1076</v>
      </c>
      <c r="AEC2" t="s">
        <v>1076</v>
      </c>
      <c r="AED2" t="s">
        <v>1076</v>
      </c>
      <c r="AEE2" t="s">
        <v>1077</v>
      </c>
      <c r="AEF2" t="s">
        <v>1077</v>
      </c>
      <c r="AEG2" t="s">
        <v>1077</v>
      </c>
      <c r="AEH2" t="s">
        <v>1077</v>
      </c>
      <c r="AEI2" t="s">
        <v>1077</v>
      </c>
      <c r="AEJ2" t="s">
        <v>1077</v>
      </c>
      <c r="AEK2" t="s">
        <v>1077</v>
      </c>
      <c r="AEL2" t="s">
        <v>1077</v>
      </c>
      <c r="AEM2" t="s">
        <v>1077</v>
      </c>
      <c r="AEN2" t="s">
        <v>1077</v>
      </c>
      <c r="AEO2" t="s">
        <v>1078</v>
      </c>
      <c r="AEP2" t="s">
        <v>1078</v>
      </c>
      <c r="AEQ2" t="s">
        <v>1078</v>
      </c>
      <c r="AER2" t="s">
        <v>1078</v>
      </c>
      <c r="AES2" t="s">
        <v>1078</v>
      </c>
      <c r="AET2" t="s">
        <v>1078</v>
      </c>
      <c r="AEU2" t="s">
        <v>1078</v>
      </c>
      <c r="AEV2" t="s">
        <v>1078</v>
      </c>
      <c r="AEW2" t="s">
        <v>1078</v>
      </c>
      <c r="AEX2" t="s">
        <v>1078</v>
      </c>
      <c r="AEY2" t="s">
        <v>1079</v>
      </c>
      <c r="AEZ2" t="s">
        <v>1079</v>
      </c>
      <c r="AFA2" t="s">
        <v>1079</v>
      </c>
      <c r="AFB2" t="s">
        <v>1079</v>
      </c>
      <c r="AFC2" t="s">
        <v>1079</v>
      </c>
      <c r="AFD2" t="s">
        <v>1079</v>
      </c>
      <c r="AFE2" t="s">
        <v>1079</v>
      </c>
      <c r="AFF2" t="s">
        <v>1079</v>
      </c>
      <c r="AFG2" t="s">
        <v>1079</v>
      </c>
      <c r="AFH2" t="s">
        <v>1079</v>
      </c>
      <c r="AFI2" t="s">
        <v>1080</v>
      </c>
      <c r="AFJ2" t="s">
        <v>1080</v>
      </c>
      <c r="AFK2" t="s">
        <v>1080</v>
      </c>
      <c r="AFL2" t="s">
        <v>1080</v>
      </c>
      <c r="AFM2" t="s">
        <v>1080</v>
      </c>
      <c r="AFN2" t="s">
        <v>1080</v>
      </c>
      <c r="AFO2" t="s">
        <v>1080</v>
      </c>
      <c r="AFP2" t="s">
        <v>1080</v>
      </c>
      <c r="AFQ2" t="s">
        <v>1080</v>
      </c>
      <c r="AFR2" t="s">
        <v>1080</v>
      </c>
      <c r="AFS2" t="s">
        <v>1081</v>
      </c>
      <c r="AFT2" t="s">
        <v>1081</v>
      </c>
      <c r="AFU2" t="s">
        <v>1081</v>
      </c>
      <c r="AFV2" t="s">
        <v>1081</v>
      </c>
      <c r="AFW2" t="s">
        <v>1081</v>
      </c>
      <c r="AFX2" t="s">
        <v>1081</v>
      </c>
      <c r="AFY2" t="s">
        <v>1081</v>
      </c>
      <c r="AFZ2" t="s">
        <v>1081</v>
      </c>
      <c r="AGA2" t="s">
        <v>1081</v>
      </c>
      <c r="AGB2" t="s">
        <v>1081</v>
      </c>
      <c r="AGC2" t="s">
        <v>1082</v>
      </c>
      <c r="AGD2" t="s">
        <v>1082</v>
      </c>
      <c r="AGE2" t="s">
        <v>1082</v>
      </c>
      <c r="AGF2" t="s">
        <v>1082</v>
      </c>
      <c r="AGG2" t="s">
        <v>1082</v>
      </c>
      <c r="AGH2" t="s">
        <v>1082</v>
      </c>
      <c r="AGI2" t="s">
        <v>1082</v>
      </c>
      <c r="AGJ2" t="s">
        <v>1082</v>
      </c>
      <c r="AGK2" t="s">
        <v>1082</v>
      </c>
      <c r="AGL2" t="s">
        <v>1082</v>
      </c>
      <c r="AGM2" t="s">
        <v>1083</v>
      </c>
      <c r="AGN2" t="s">
        <v>1083</v>
      </c>
      <c r="AGO2" t="s">
        <v>1083</v>
      </c>
      <c r="AGP2" t="s">
        <v>1083</v>
      </c>
      <c r="AGQ2" t="s">
        <v>1083</v>
      </c>
      <c r="AGR2" t="s">
        <v>1083</v>
      </c>
      <c r="AGS2" t="s">
        <v>1083</v>
      </c>
      <c r="AGT2" t="s">
        <v>1083</v>
      </c>
      <c r="AGU2" t="s">
        <v>1083</v>
      </c>
      <c r="AGV2" t="s">
        <v>1083</v>
      </c>
      <c r="AGW2" t="s">
        <v>1084</v>
      </c>
      <c r="AGX2" t="s">
        <v>1084</v>
      </c>
      <c r="AGY2" t="s">
        <v>1084</v>
      </c>
      <c r="AGZ2" t="s">
        <v>1084</v>
      </c>
      <c r="AHA2" t="s">
        <v>1084</v>
      </c>
      <c r="AHB2" t="s">
        <v>1084</v>
      </c>
      <c r="AHC2" t="s">
        <v>1084</v>
      </c>
      <c r="AHD2" t="s">
        <v>1084</v>
      </c>
      <c r="AHE2" t="s">
        <v>1084</v>
      </c>
      <c r="AHF2" t="s">
        <v>1084</v>
      </c>
      <c r="AHG2" t="s">
        <v>1085</v>
      </c>
      <c r="AHH2" t="s">
        <v>1085</v>
      </c>
      <c r="AHI2" t="s">
        <v>1085</v>
      </c>
      <c r="AHJ2" t="s">
        <v>1085</v>
      </c>
      <c r="AHK2" t="s">
        <v>1085</v>
      </c>
      <c r="AHL2" t="s">
        <v>1085</v>
      </c>
      <c r="AHM2" t="s">
        <v>1085</v>
      </c>
      <c r="AHN2" t="s">
        <v>1085</v>
      </c>
      <c r="AHO2" t="s">
        <v>1085</v>
      </c>
      <c r="AHP2" t="s">
        <v>1085</v>
      </c>
      <c r="AHQ2" t="s">
        <v>1086</v>
      </c>
      <c r="AHR2" t="s">
        <v>1086</v>
      </c>
      <c r="AHS2" t="s">
        <v>1086</v>
      </c>
      <c r="AHT2" t="s">
        <v>1086</v>
      </c>
      <c r="AHU2" t="s">
        <v>1086</v>
      </c>
      <c r="AHV2" t="s">
        <v>1086</v>
      </c>
      <c r="AHW2" t="s">
        <v>1086</v>
      </c>
      <c r="AHX2" t="s">
        <v>1086</v>
      </c>
      <c r="AHY2" t="s">
        <v>1086</v>
      </c>
      <c r="AHZ2" t="s">
        <v>1086</v>
      </c>
      <c r="AIA2" t="s">
        <v>1087</v>
      </c>
      <c r="AIB2" t="s">
        <v>1087</v>
      </c>
      <c r="AIC2" t="s">
        <v>1087</v>
      </c>
      <c r="AID2" t="s">
        <v>1087</v>
      </c>
      <c r="AIE2" t="s">
        <v>1087</v>
      </c>
      <c r="AIF2" t="s">
        <v>1087</v>
      </c>
      <c r="AIG2" t="s">
        <v>1087</v>
      </c>
      <c r="AIH2" t="s">
        <v>1087</v>
      </c>
      <c r="AII2" t="s">
        <v>1087</v>
      </c>
      <c r="AIJ2" t="s">
        <v>1087</v>
      </c>
      <c r="AIK2" t="s">
        <v>1088</v>
      </c>
      <c r="AIL2" t="s">
        <v>1088</v>
      </c>
      <c r="AIM2" t="s">
        <v>1088</v>
      </c>
      <c r="AIN2" t="s">
        <v>1088</v>
      </c>
      <c r="AIO2" t="s">
        <v>1088</v>
      </c>
      <c r="AIP2" t="s">
        <v>1088</v>
      </c>
      <c r="AIQ2" t="s">
        <v>1088</v>
      </c>
      <c r="AIR2" t="s">
        <v>1088</v>
      </c>
      <c r="AIS2" t="s">
        <v>1088</v>
      </c>
      <c r="AIT2" t="s">
        <v>1088</v>
      </c>
      <c r="AIU2" t="s">
        <v>1089</v>
      </c>
      <c r="AIV2" t="s">
        <v>1089</v>
      </c>
      <c r="AIW2" t="s">
        <v>1089</v>
      </c>
      <c r="AIX2" t="s">
        <v>1089</v>
      </c>
      <c r="AIY2" t="s">
        <v>1089</v>
      </c>
      <c r="AIZ2" t="s">
        <v>1089</v>
      </c>
      <c r="AJA2" t="s">
        <v>1089</v>
      </c>
      <c r="AJB2" t="s">
        <v>1089</v>
      </c>
      <c r="AJC2" t="s">
        <v>1089</v>
      </c>
      <c r="AJD2" t="s">
        <v>1089</v>
      </c>
      <c r="AJE2" t="s">
        <v>1090</v>
      </c>
      <c r="AJF2" t="s">
        <v>1090</v>
      </c>
      <c r="AJG2" t="s">
        <v>1090</v>
      </c>
      <c r="AJH2" t="s">
        <v>1090</v>
      </c>
      <c r="AJI2" t="s">
        <v>1090</v>
      </c>
      <c r="AJJ2" t="s">
        <v>1090</v>
      </c>
      <c r="AJK2" t="s">
        <v>1090</v>
      </c>
      <c r="AJL2" t="s">
        <v>1090</v>
      </c>
      <c r="AJM2" t="s">
        <v>1090</v>
      </c>
      <c r="AJN2" t="s">
        <v>1090</v>
      </c>
      <c r="AJO2" t="s">
        <v>1091</v>
      </c>
      <c r="AJP2" t="s">
        <v>1091</v>
      </c>
      <c r="AJQ2" t="s">
        <v>1091</v>
      </c>
      <c r="AJR2" t="s">
        <v>1091</v>
      </c>
      <c r="AJS2" t="s">
        <v>1091</v>
      </c>
      <c r="AJT2" t="s">
        <v>1091</v>
      </c>
      <c r="AJU2" t="s">
        <v>1091</v>
      </c>
      <c r="AJV2" t="s">
        <v>1091</v>
      </c>
      <c r="AJW2" t="s">
        <v>1091</v>
      </c>
      <c r="AJX2" t="s">
        <v>1091</v>
      </c>
      <c r="AJY2" t="s">
        <v>1092</v>
      </c>
      <c r="AJZ2" t="s">
        <v>1092</v>
      </c>
      <c r="AKA2" t="s">
        <v>1092</v>
      </c>
      <c r="AKB2" t="s">
        <v>1092</v>
      </c>
      <c r="AKC2" t="s">
        <v>1092</v>
      </c>
      <c r="AKD2" t="s">
        <v>1092</v>
      </c>
      <c r="AKE2" t="s">
        <v>1092</v>
      </c>
      <c r="AKF2" t="s">
        <v>1092</v>
      </c>
      <c r="AKG2" t="s">
        <v>1092</v>
      </c>
      <c r="AKH2" t="s">
        <v>1092</v>
      </c>
      <c r="AKI2" t="s">
        <v>1093</v>
      </c>
      <c r="AKJ2" t="s">
        <v>1093</v>
      </c>
      <c r="AKK2" t="s">
        <v>1093</v>
      </c>
      <c r="AKL2" t="s">
        <v>1093</v>
      </c>
      <c r="AKM2" t="s">
        <v>1093</v>
      </c>
      <c r="AKN2" t="s">
        <v>1093</v>
      </c>
      <c r="AKO2" t="s">
        <v>1093</v>
      </c>
      <c r="AKP2" t="s">
        <v>1093</v>
      </c>
      <c r="AKQ2" t="s">
        <v>1093</v>
      </c>
      <c r="AKR2" t="s">
        <v>1093</v>
      </c>
      <c r="AKS2" t="s">
        <v>1094</v>
      </c>
      <c r="AKT2" t="s">
        <v>1094</v>
      </c>
      <c r="AKU2" t="s">
        <v>1094</v>
      </c>
      <c r="AKV2" t="s">
        <v>1094</v>
      </c>
      <c r="AKW2" t="s">
        <v>1094</v>
      </c>
      <c r="AKX2" t="s">
        <v>1094</v>
      </c>
      <c r="AKY2" t="s">
        <v>1094</v>
      </c>
      <c r="AKZ2" t="s">
        <v>1094</v>
      </c>
      <c r="ALA2" t="s">
        <v>1094</v>
      </c>
      <c r="ALB2" t="s">
        <v>1094</v>
      </c>
      <c r="ALC2" t="s">
        <v>1095</v>
      </c>
      <c r="ALD2" t="s">
        <v>1095</v>
      </c>
      <c r="ALE2" t="s">
        <v>1095</v>
      </c>
      <c r="ALF2" t="s">
        <v>1095</v>
      </c>
      <c r="ALG2" t="s">
        <v>1095</v>
      </c>
      <c r="ALH2" t="s">
        <v>1095</v>
      </c>
      <c r="ALI2" t="s">
        <v>1095</v>
      </c>
      <c r="ALJ2" t="s">
        <v>1095</v>
      </c>
      <c r="ALK2" t="s">
        <v>1095</v>
      </c>
      <c r="ALL2" t="s">
        <v>1095</v>
      </c>
    </row>
    <row r="3" spans="1:1000" x14ac:dyDescent="0.3">
      <c r="A3" t="s">
        <v>1096</v>
      </c>
      <c r="B3" t="s">
        <v>1096</v>
      </c>
      <c r="C3" t="s">
        <v>1096</v>
      </c>
      <c r="D3" t="s">
        <v>1096</v>
      </c>
      <c r="E3" t="s">
        <v>1096</v>
      </c>
      <c r="F3" t="s">
        <v>1096</v>
      </c>
      <c r="G3" t="s">
        <v>1096</v>
      </c>
      <c r="H3" t="s">
        <v>1096</v>
      </c>
      <c r="I3" t="s">
        <v>1096</v>
      </c>
      <c r="J3" t="s">
        <v>1096</v>
      </c>
      <c r="K3" t="s">
        <v>1096</v>
      </c>
      <c r="L3" t="s">
        <v>1096</v>
      </c>
      <c r="M3" t="s">
        <v>1096</v>
      </c>
      <c r="N3" t="s">
        <v>1096</v>
      </c>
      <c r="O3" t="s">
        <v>1096</v>
      </c>
      <c r="P3" t="s">
        <v>1096</v>
      </c>
      <c r="Q3" t="s">
        <v>1096</v>
      </c>
      <c r="R3" t="s">
        <v>1096</v>
      </c>
      <c r="S3" t="s">
        <v>1096</v>
      </c>
      <c r="T3" t="s">
        <v>1096</v>
      </c>
      <c r="U3" t="s">
        <v>1096</v>
      </c>
      <c r="V3" t="s">
        <v>1096</v>
      </c>
      <c r="W3" t="s">
        <v>1096</v>
      </c>
      <c r="X3" t="s">
        <v>1096</v>
      </c>
      <c r="Y3" t="s">
        <v>1096</v>
      </c>
      <c r="Z3" t="s">
        <v>1096</v>
      </c>
      <c r="AA3" t="s">
        <v>1096</v>
      </c>
      <c r="AB3" t="s">
        <v>1096</v>
      </c>
      <c r="AC3" t="s">
        <v>1096</v>
      </c>
      <c r="AD3" t="s">
        <v>1096</v>
      </c>
      <c r="AE3" t="s">
        <v>1096</v>
      </c>
      <c r="AF3" t="s">
        <v>1096</v>
      </c>
      <c r="AG3" t="s">
        <v>1096</v>
      </c>
      <c r="AH3" t="s">
        <v>1096</v>
      </c>
      <c r="AI3" t="s">
        <v>1096</v>
      </c>
      <c r="AJ3" t="s">
        <v>1096</v>
      </c>
      <c r="AK3" t="s">
        <v>1096</v>
      </c>
      <c r="AL3" t="s">
        <v>1096</v>
      </c>
      <c r="AM3" t="s">
        <v>1096</v>
      </c>
      <c r="AN3" t="s">
        <v>1096</v>
      </c>
      <c r="AO3" t="s">
        <v>1096</v>
      </c>
      <c r="AP3" t="s">
        <v>1096</v>
      </c>
      <c r="AQ3" t="s">
        <v>1096</v>
      </c>
      <c r="AR3" t="s">
        <v>1096</v>
      </c>
      <c r="AS3" t="s">
        <v>1096</v>
      </c>
      <c r="AT3" t="s">
        <v>1096</v>
      </c>
      <c r="AU3" t="s">
        <v>1096</v>
      </c>
      <c r="AV3" t="s">
        <v>1096</v>
      </c>
      <c r="AW3" t="s">
        <v>1096</v>
      </c>
      <c r="AX3" t="s">
        <v>1096</v>
      </c>
      <c r="AY3" t="s">
        <v>1096</v>
      </c>
      <c r="AZ3" t="s">
        <v>1097</v>
      </c>
      <c r="BA3" t="s">
        <v>1097</v>
      </c>
      <c r="BB3" t="s">
        <v>1097</v>
      </c>
      <c r="BC3" t="s">
        <v>1097</v>
      </c>
      <c r="BD3" t="s">
        <v>1097</v>
      </c>
      <c r="BE3" t="s">
        <v>1097</v>
      </c>
      <c r="BF3" t="s">
        <v>1097</v>
      </c>
      <c r="BG3" t="s">
        <v>1097</v>
      </c>
      <c r="BH3" t="s">
        <v>1097</v>
      </c>
      <c r="BI3" t="s">
        <v>1097</v>
      </c>
      <c r="BJ3" t="s">
        <v>1098</v>
      </c>
      <c r="BK3" t="s">
        <v>1098</v>
      </c>
      <c r="BL3" t="s">
        <v>1098</v>
      </c>
      <c r="BM3" t="s">
        <v>1098</v>
      </c>
      <c r="BN3" t="s">
        <v>1098</v>
      </c>
      <c r="BO3" t="s">
        <v>1098</v>
      </c>
      <c r="BP3" t="s">
        <v>1098</v>
      </c>
      <c r="BQ3" t="s">
        <v>1098</v>
      </c>
      <c r="BR3" t="s">
        <v>1098</v>
      </c>
      <c r="BS3" t="s">
        <v>1098</v>
      </c>
      <c r="BT3" t="s">
        <v>1099</v>
      </c>
      <c r="BU3" t="s">
        <v>1099</v>
      </c>
      <c r="BV3" t="s">
        <v>1099</v>
      </c>
      <c r="BW3" t="s">
        <v>1099</v>
      </c>
      <c r="BX3" t="s">
        <v>1099</v>
      </c>
      <c r="BY3" t="s">
        <v>1099</v>
      </c>
      <c r="BZ3" t="s">
        <v>1099</v>
      </c>
      <c r="CA3" t="s">
        <v>1099</v>
      </c>
      <c r="CB3" t="s">
        <v>1099</v>
      </c>
      <c r="CC3" t="s">
        <v>1099</v>
      </c>
      <c r="CD3" t="s">
        <v>1100</v>
      </c>
      <c r="CE3" t="s">
        <v>1100</v>
      </c>
      <c r="CF3" t="s">
        <v>1100</v>
      </c>
      <c r="CG3" t="s">
        <v>1100</v>
      </c>
      <c r="CH3" t="s">
        <v>1100</v>
      </c>
      <c r="CI3" t="s">
        <v>1100</v>
      </c>
      <c r="CJ3" t="s">
        <v>1100</v>
      </c>
      <c r="CK3" t="s">
        <v>1100</v>
      </c>
      <c r="CL3" t="s">
        <v>1100</v>
      </c>
      <c r="CM3" t="s">
        <v>1100</v>
      </c>
      <c r="CN3" t="s">
        <v>1101</v>
      </c>
      <c r="CO3" t="s">
        <v>1101</v>
      </c>
      <c r="CP3" t="s">
        <v>1101</v>
      </c>
      <c r="CQ3" t="s">
        <v>1101</v>
      </c>
      <c r="CR3" t="s">
        <v>1101</v>
      </c>
      <c r="CS3" t="s">
        <v>1101</v>
      </c>
      <c r="CT3" t="s">
        <v>1101</v>
      </c>
      <c r="CU3" t="s">
        <v>1101</v>
      </c>
      <c r="CV3" t="s">
        <v>1101</v>
      </c>
      <c r="CW3" t="s">
        <v>1101</v>
      </c>
      <c r="CX3" t="s">
        <v>1102</v>
      </c>
      <c r="CY3" t="s">
        <v>1102</v>
      </c>
      <c r="CZ3" t="s">
        <v>1102</v>
      </c>
      <c r="DA3" t="s">
        <v>1102</v>
      </c>
      <c r="DB3" t="s">
        <v>1102</v>
      </c>
      <c r="DC3" t="s">
        <v>1102</v>
      </c>
      <c r="DD3" t="s">
        <v>1102</v>
      </c>
      <c r="DE3" t="s">
        <v>1102</v>
      </c>
      <c r="DF3" t="s">
        <v>1102</v>
      </c>
      <c r="DG3" t="s">
        <v>1102</v>
      </c>
      <c r="DH3" t="s">
        <v>1103</v>
      </c>
      <c r="DI3" t="s">
        <v>1103</v>
      </c>
      <c r="DJ3" t="s">
        <v>1103</v>
      </c>
      <c r="DK3" t="s">
        <v>1103</v>
      </c>
      <c r="DL3" t="s">
        <v>1103</v>
      </c>
      <c r="DM3" t="s">
        <v>1103</v>
      </c>
      <c r="DN3" t="s">
        <v>1103</v>
      </c>
      <c r="DO3" t="s">
        <v>1103</v>
      </c>
      <c r="DP3" t="s">
        <v>1103</v>
      </c>
      <c r="DQ3" t="s">
        <v>1103</v>
      </c>
      <c r="DR3" t="s">
        <v>1104</v>
      </c>
      <c r="DS3" t="s">
        <v>1104</v>
      </c>
      <c r="DT3" t="s">
        <v>1104</v>
      </c>
      <c r="DU3" t="s">
        <v>1104</v>
      </c>
      <c r="DV3" t="s">
        <v>1104</v>
      </c>
      <c r="DW3" t="s">
        <v>1104</v>
      </c>
      <c r="DX3" t="s">
        <v>1104</v>
      </c>
      <c r="DY3" t="s">
        <v>1104</v>
      </c>
      <c r="DZ3" t="s">
        <v>1104</v>
      </c>
      <c r="EA3" t="s">
        <v>1104</v>
      </c>
      <c r="EB3" t="s">
        <v>1105</v>
      </c>
      <c r="EC3" t="s">
        <v>1105</v>
      </c>
      <c r="ED3" t="s">
        <v>1105</v>
      </c>
      <c r="EE3" t="s">
        <v>1105</v>
      </c>
      <c r="EF3" t="s">
        <v>1105</v>
      </c>
      <c r="EG3" t="s">
        <v>1105</v>
      </c>
      <c r="EH3" t="s">
        <v>1105</v>
      </c>
      <c r="EI3" t="s">
        <v>1105</v>
      </c>
      <c r="EJ3" t="s">
        <v>1105</v>
      </c>
      <c r="EK3" t="s">
        <v>1105</v>
      </c>
      <c r="EL3" t="s">
        <v>1106</v>
      </c>
      <c r="EM3" t="s">
        <v>1106</v>
      </c>
      <c r="EN3" t="s">
        <v>1106</v>
      </c>
      <c r="EO3" t="s">
        <v>1106</v>
      </c>
      <c r="EP3" t="s">
        <v>1106</v>
      </c>
      <c r="EQ3" t="s">
        <v>1106</v>
      </c>
      <c r="ER3" t="s">
        <v>1106</v>
      </c>
      <c r="ES3" t="s">
        <v>1106</v>
      </c>
      <c r="ET3" t="s">
        <v>1106</v>
      </c>
      <c r="EU3" t="s">
        <v>1106</v>
      </c>
      <c r="EV3" t="s">
        <v>1107</v>
      </c>
      <c r="EW3" t="s">
        <v>1107</v>
      </c>
      <c r="EX3" t="s">
        <v>1107</v>
      </c>
      <c r="EY3" t="s">
        <v>1107</v>
      </c>
      <c r="EZ3" t="s">
        <v>1107</v>
      </c>
      <c r="FA3" t="s">
        <v>1107</v>
      </c>
      <c r="FB3" t="s">
        <v>1107</v>
      </c>
      <c r="FC3" t="s">
        <v>1107</v>
      </c>
      <c r="FD3" t="s">
        <v>1107</v>
      </c>
      <c r="FE3" t="s">
        <v>1107</v>
      </c>
      <c r="FF3" t="s">
        <v>1108</v>
      </c>
      <c r="FG3" t="s">
        <v>1108</v>
      </c>
      <c r="FH3" t="s">
        <v>1108</v>
      </c>
      <c r="FI3" t="s">
        <v>1108</v>
      </c>
      <c r="FJ3" t="s">
        <v>1108</v>
      </c>
      <c r="FK3" t="s">
        <v>1108</v>
      </c>
      <c r="FL3" t="s">
        <v>1108</v>
      </c>
      <c r="FM3" t="s">
        <v>1108</v>
      </c>
      <c r="FN3" t="s">
        <v>1108</v>
      </c>
      <c r="FO3" t="s">
        <v>1108</v>
      </c>
      <c r="FP3" t="s">
        <v>1109</v>
      </c>
      <c r="FQ3" t="s">
        <v>1109</v>
      </c>
      <c r="FR3" t="s">
        <v>1109</v>
      </c>
      <c r="FS3" t="s">
        <v>1109</v>
      </c>
      <c r="FT3" t="s">
        <v>1109</v>
      </c>
      <c r="FU3" t="s">
        <v>1109</v>
      </c>
      <c r="FV3" t="s">
        <v>1109</v>
      </c>
      <c r="FW3" t="s">
        <v>1109</v>
      </c>
      <c r="FX3" t="s">
        <v>1109</v>
      </c>
      <c r="FY3" t="s">
        <v>1109</v>
      </c>
      <c r="FZ3" t="s">
        <v>1110</v>
      </c>
      <c r="GA3" t="s">
        <v>1110</v>
      </c>
      <c r="GB3" t="s">
        <v>1110</v>
      </c>
      <c r="GC3" t="s">
        <v>1110</v>
      </c>
      <c r="GD3" t="s">
        <v>1110</v>
      </c>
      <c r="GE3" t="s">
        <v>1110</v>
      </c>
      <c r="GF3" t="s">
        <v>1110</v>
      </c>
      <c r="GG3" t="s">
        <v>1110</v>
      </c>
      <c r="GH3" t="s">
        <v>1110</v>
      </c>
      <c r="GI3" t="s">
        <v>1110</v>
      </c>
      <c r="GJ3" t="s">
        <v>1111</v>
      </c>
      <c r="GK3" t="s">
        <v>1111</v>
      </c>
      <c r="GL3" t="s">
        <v>1111</v>
      </c>
      <c r="GM3" t="s">
        <v>1111</v>
      </c>
      <c r="GN3" t="s">
        <v>1111</v>
      </c>
      <c r="GO3" t="s">
        <v>1111</v>
      </c>
      <c r="GP3" t="s">
        <v>1111</v>
      </c>
      <c r="GQ3" t="s">
        <v>1111</v>
      </c>
      <c r="GR3" t="s">
        <v>1111</v>
      </c>
      <c r="GS3" t="s">
        <v>1111</v>
      </c>
      <c r="GT3" t="s">
        <v>1112</v>
      </c>
      <c r="GU3" t="s">
        <v>1112</v>
      </c>
      <c r="GV3" t="s">
        <v>1112</v>
      </c>
      <c r="GW3" t="s">
        <v>1112</v>
      </c>
      <c r="GX3" t="s">
        <v>1112</v>
      </c>
      <c r="GY3" t="s">
        <v>1112</v>
      </c>
      <c r="GZ3" t="s">
        <v>1112</v>
      </c>
      <c r="HA3" t="s">
        <v>1112</v>
      </c>
      <c r="HB3" t="s">
        <v>1112</v>
      </c>
      <c r="HC3" t="s">
        <v>1112</v>
      </c>
      <c r="HD3" t="s">
        <v>1113</v>
      </c>
      <c r="HE3" t="s">
        <v>1113</v>
      </c>
      <c r="HF3" t="s">
        <v>1113</v>
      </c>
      <c r="HG3" t="s">
        <v>1113</v>
      </c>
      <c r="HH3" t="s">
        <v>1113</v>
      </c>
      <c r="HI3" t="s">
        <v>1113</v>
      </c>
      <c r="HJ3" t="s">
        <v>1113</v>
      </c>
      <c r="HK3" t="s">
        <v>1113</v>
      </c>
      <c r="HL3" t="s">
        <v>1113</v>
      </c>
      <c r="HM3" t="s">
        <v>1113</v>
      </c>
      <c r="HN3" t="s">
        <v>1114</v>
      </c>
      <c r="HO3" t="s">
        <v>1114</v>
      </c>
      <c r="HP3" t="s">
        <v>1114</v>
      </c>
      <c r="HQ3" t="s">
        <v>1114</v>
      </c>
      <c r="HR3" t="s">
        <v>1114</v>
      </c>
      <c r="HS3" t="s">
        <v>1114</v>
      </c>
      <c r="HT3" t="s">
        <v>1114</v>
      </c>
      <c r="HU3" t="s">
        <v>1114</v>
      </c>
      <c r="HV3" t="s">
        <v>1114</v>
      </c>
      <c r="HW3" t="s">
        <v>1114</v>
      </c>
      <c r="HX3" t="s">
        <v>1115</v>
      </c>
      <c r="HY3" t="s">
        <v>1115</v>
      </c>
      <c r="HZ3" t="s">
        <v>1115</v>
      </c>
      <c r="IA3" t="s">
        <v>1115</v>
      </c>
      <c r="IB3" t="s">
        <v>1115</v>
      </c>
      <c r="IC3" t="s">
        <v>1115</v>
      </c>
      <c r="ID3" t="s">
        <v>1115</v>
      </c>
      <c r="IE3" t="s">
        <v>1115</v>
      </c>
      <c r="IF3" t="s">
        <v>1115</v>
      </c>
      <c r="IG3" t="s">
        <v>1115</v>
      </c>
      <c r="IH3" t="s">
        <v>1116</v>
      </c>
      <c r="II3" t="s">
        <v>1116</v>
      </c>
      <c r="IJ3" t="s">
        <v>1116</v>
      </c>
      <c r="IK3" t="s">
        <v>1116</v>
      </c>
      <c r="IL3" t="s">
        <v>1116</v>
      </c>
      <c r="IM3" t="s">
        <v>1116</v>
      </c>
      <c r="IN3" t="s">
        <v>1116</v>
      </c>
      <c r="IO3" t="s">
        <v>1116</v>
      </c>
      <c r="IP3" t="s">
        <v>1116</v>
      </c>
      <c r="IQ3" t="s">
        <v>1116</v>
      </c>
      <c r="IR3" t="s">
        <v>1117</v>
      </c>
      <c r="IS3" t="s">
        <v>1117</v>
      </c>
      <c r="IT3" t="s">
        <v>1117</v>
      </c>
      <c r="IU3" t="s">
        <v>1117</v>
      </c>
      <c r="IV3" t="s">
        <v>1117</v>
      </c>
      <c r="IW3" t="s">
        <v>1117</v>
      </c>
      <c r="IX3" t="s">
        <v>1117</v>
      </c>
      <c r="IY3" t="s">
        <v>1117</v>
      </c>
      <c r="IZ3" t="s">
        <v>1117</v>
      </c>
      <c r="JA3" t="s">
        <v>1117</v>
      </c>
      <c r="JB3" t="s">
        <v>1118</v>
      </c>
      <c r="JC3" t="s">
        <v>1118</v>
      </c>
      <c r="JD3" t="s">
        <v>1118</v>
      </c>
      <c r="JE3" t="s">
        <v>1118</v>
      </c>
      <c r="JF3" t="s">
        <v>1118</v>
      </c>
      <c r="JG3" t="s">
        <v>1118</v>
      </c>
      <c r="JH3" t="s">
        <v>1118</v>
      </c>
      <c r="JI3" t="s">
        <v>1118</v>
      </c>
      <c r="JJ3" t="s">
        <v>1118</v>
      </c>
      <c r="JK3" t="s">
        <v>1118</v>
      </c>
      <c r="JL3" t="s">
        <v>1119</v>
      </c>
      <c r="JM3" t="s">
        <v>1119</v>
      </c>
      <c r="JN3" t="s">
        <v>1119</v>
      </c>
      <c r="JO3" t="s">
        <v>1119</v>
      </c>
      <c r="JP3" t="s">
        <v>1119</v>
      </c>
      <c r="JQ3" t="s">
        <v>1119</v>
      </c>
      <c r="JR3" t="s">
        <v>1119</v>
      </c>
      <c r="JS3" t="s">
        <v>1119</v>
      </c>
      <c r="JT3" t="s">
        <v>1119</v>
      </c>
      <c r="JU3" t="s">
        <v>1119</v>
      </c>
      <c r="JV3" t="s">
        <v>1120</v>
      </c>
      <c r="JW3" t="s">
        <v>1120</v>
      </c>
      <c r="JX3" t="s">
        <v>1120</v>
      </c>
      <c r="JY3" t="s">
        <v>1120</v>
      </c>
      <c r="JZ3" t="s">
        <v>1120</v>
      </c>
      <c r="KA3" t="s">
        <v>1120</v>
      </c>
      <c r="KB3" t="s">
        <v>1120</v>
      </c>
      <c r="KC3" t="s">
        <v>1120</v>
      </c>
      <c r="KD3" t="s">
        <v>1120</v>
      </c>
      <c r="KE3" t="s">
        <v>1120</v>
      </c>
      <c r="KF3" t="s">
        <v>1121</v>
      </c>
      <c r="KG3" t="s">
        <v>1121</v>
      </c>
      <c r="KH3" t="s">
        <v>1121</v>
      </c>
      <c r="KI3" t="s">
        <v>1121</v>
      </c>
      <c r="KJ3" t="s">
        <v>1121</v>
      </c>
      <c r="KK3" t="s">
        <v>1121</v>
      </c>
      <c r="KL3" t="s">
        <v>1121</v>
      </c>
      <c r="KM3" t="s">
        <v>1121</v>
      </c>
      <c r="KN3" t="s">
        <v>1121</v>
      </c>
      <c r="KO3" t="s">
        <v>1121</v>
      </c>
      <c r="KP3" t="s">
        <v>1122</v>
      </c>
      <c r="KQ3" t="s">
        <v>1122</v>
      </c>
      <c r="KR3" t="s">
        <v>1122</v>
      </c>
      <c r="KS3" t="s">
        <v>1122</v>
      </c>
      <c r="KT3" t="s">
        <v>1122</v>
      </c>
      <c r="KU3" t="s">
        <v>1122</v>
      </c>
      <c r="KV3" t="s">
        <v>1122</v>
      </c>
      <c r="KW3" t="s">
        <v>1122</v>
      </c>
      <c r="KX3" t="s">
        <v>1122</v>
      </c>
      <c r="KY3" t="s">
        <v>1122</v>
      </c>
      <c r="KZ3" t="s">
        <v>1123</v>
      </c>
      <c r="LA3" t="s">
        <v>1123</v>
      </c>
      <c r="LB3" t="s">
        <v>1123</v>
      </c>
      <c r="LC3" t="s">
        <v>1123</v>
      </c>
      <c r="LD3" t="s">
        <v>1123</v>
      </c>
      <c r="LE3" t="s">
        <v>1123</v>
      </c>
      <c r="LF3" t="s">
        <v>1123</v>
      </c>
      <c r="LG3" t="s">
        <v>1123</v>
      </c>
      <c r="LH3" t="s">
        <v>1123</v>
      </c>
      <c r="LI3" t="s">
        <v>1123</v>
      </c>
      <c r="LJ3" t="s">
        <v>1124</v>
      </c>
      <c r="LK3" t="s">
        <v>1124</v>
      </c>
      <c r="LL3" t="s">
        <v>1124</v>
      </c>
      <c r="LM3" t="s">
        <v>1124</v>
      </c>
      <c r="LN3" t="s">
        <v>1124</v>
      </c>
      <c r="LO3" t="s">
        <v>1124</v>
      </c>
      <c r="LP3" t="s">
        <v>1124</v>
      </c>
      <c r="LQ3" t="s">
        <v>1124</v>
      </c>
      <c r="LR3" t="s">
        <v>1124</v>
      </c>
      <c r="LS3" t="s">
        <v>1124</v>
      </c>
      <c r="LT3" t="s">
        <v>1125</v>
      </c>
      <c r="LU3" t="s">
        <v>1125</v>
      </c>
      <c r="LV3" t="s">
        <v>1125</v>
      </c>
      <c r="LW3" t="s">
        <v>1125</v>
      </c>
      <c r="LX3" t="s">
        <v>1125</v>
      </c>
      <c r="LY3" t="s">
        <v>1125</v>
      </c>
      <c r="LZ3" t="s">
        <v>1125</v>
      </c>
      <c r="MA3" t="s">
        <v>1125</v>
      </c>
      <c r="MB3" t="s">
        <v>1125</v>
      </c>
      <c r="MC3" t="s">
        <v>1125</v>
      </c>
      <c r="MD3" t="s">
        <v>1126</v>
      </c>
      <c r="ME3" t="s">
        <v>1126</v>
      </c>
      <c r="MF3" t="s">
        <v>1126</v>
      </c>
      <c r="MG3" t="s">
        <v>1126</v>
      </c>
      <c r="MH3" t="s">
        <v>1126</v>
      </c>
      <c r="MI3" t="s">
        <v>1126</v>
      </c>
      <c r="MJ3" t="s">
        <v>1126</v>
      </c>
      <c r="MK3" t="s">
        <v>1126</v>
      </c>
      <c r="ML3" t="s">
        <v>1126</v>
      </c>
      <c r="MM3" t="s">
        <v>1126</v>
      </c>
      <c r="MN3" t="s">
        <v>1127</v>
      </c>
      <c r="MO3" t="s">
        <v>1127</v>
      </c>
      <c r="MP3" t="s">
        <v>1127</v>
      </c>
      <c r="MQ3" t="s">
        <v>1127</v>
      </c>
      <c r="MR3" t="s">
        <v>1127</v>
      </c>
      <c r="MS3" t="s">
        <v>1127</v>
      </c>
      <c r="MT3" t="s">
        <v>1127</v>
      </c>
      <c r="MU3" t="s">
        <v>1127</v>
      </c>
      <c r="MV3" t="s">
        <v>1127</v>
      </c>
      <c r="MW3" t="s">
        <v>1127</v>
      </c>
      <c r="MX3" t="s">
        <v>1128</v>
      </c>
      <c r="MY3" t="s">
        <v>1128</v>
      </c>
      <c r="MZ3" t="s">
        <v>1128</v>
      </c>
      <c r="NA3" t="s">
        <v>1128</v>
      </c>
      <c r="NB3" t="s">
        <v>1128</v>
      </c>
      <c r="NC3" t="s">
        <v>1128</v>
      </c>
      <c r="ND3" t="s">
        <v>1128</v>
      </c>
      <c r="NE3" t="s">
        <v>1128</v>
      </c>
      <c r="NF3" t="s">
        <v>1128</v>
      </c>
      <c r="NG3" t="s">
        <v>1128</v>
      </c>
      <c r="NH3" t="s">
        <v>1129</v>
      </c>
      <c r="NI3" t="s">
        <v>1129</v>
      </c>
      <c r="NJ3" t="s">
        <v>1129</v>
      </c>
      <c r="NK3" t="s">
        <v>1129</v>
      </c>
      <c r="NL3" t="s">
        <v>1129</v>
      </c>
      <c r="NM3" t="s">
        <v>1129</v>
      </c>
      <c r="NN3" t="s">
        <v>1129</v>
      </c>
      <c r="NO3" t="s">
        <v>1129</v>
      </c>
      <c r="NP3" t="s">
        <v>1129</v>
      </c>
      <c r="NQ3" t="s">
        <v>1129</v>
      </c>
      <c r="NR3" t="s">
        <v>1130</v>
      </c>
      <c r="NS3" t="s">
        <v>1130</v>
      </c>
      <c r="NT3" t="s">
        <v>1130</v>
      </c>
      <c r="NU3" t="s">
        <v>1130</v>
      </c>
      <c r="NV3" t="s">
        <v>1130</v>
      </c>
      <c r="NW3" t="s">
        <v>1130</v>
      </c>
      <c r="NX3" t="s">
        <v>1130</v>
      </c>
      <c r="NY3" t="s">
        <v>1130</v>
      </c>
      <c r="NZ3" t="s">
        <v>1130</v>
      </c>
      <c r="OA3" t="s">
        <v>1130</v>
      </c>
      <c r="OB3" t="s">
        <v>1131</v>
      </c>
      <c r="OC3" t="s">
        <v>1131</v>
      </c>
      <c r="OD3" t="s">
        <v>1131</v>
      </c>
      <c r="OE3" t="s">
        <v>1131</v>
      </c>
      <c r="OF3" t="s">
        <v>1131</v>
      </c>
      <c r="OG3" t="s">
        <v>1131</v>
      </c>
      <c r="OH3" t="s">
        <v>1131</v>
      </c>
      <c r="OI3" t="s">
        <v>1131</v>
      </c>
      <c r="OJ3" t="s">
        <v>1131</v>
      </c>
      <c r="OK3" t="s">
        <v>1131</v>
      </c>
      <c r="OL3" t="s">
        <v>1132</v>
      </c>
      <c r="OM3" t="s">
        <v>1132</v>
      </c>
      <c r="ON3" t="s">
        <v>1132</v>
      </c>
      <c r="OO3" t="s">
        <v>1132</v>
      </c>
      <c r="OP3" t="s">
        <v>1132</v>
      </c>
      <c r="OQ3" t="s">
        <v>1132</v>
      </c>
      <c r="OR3" t="s">
        <v>1132</v>
      </c>
      <c r="OS3" t="s">
        <v>1132</v>
      </c>
      <c r="OT3" t="s">
        <v>1132</v>
      </c>
      <c r="OU3" t="s">
        <v>1132</v>
      </c>
      <c r="OV3" t="s">
        <v>1133</v>
      </c>
      <c r="OW3" t="s">
        <v>1133</v>
      </c>
      <c r="OX3" t="s">
        <v>1133</v>
      </c>
      <c r="OY3" t="s">
        <v>1133</v>
      </c>
      <c r="OZ3" t="s">
        <v>1133</v>
      </c>
      <c r="PA3" t="s">
        <v>1133</v>
      </c>
      <c r="PB3" t="s">
        <v>1133</v>
      </c>
      <c r="PC3" t="s">
        <v>1133</v>
      </c>
      <c r="PD3" t="s">
        <v>1133</v>
      </c>
      <c r="PE3" t="s">
        <v>1133</v>
      </c>
      <c r="PF3" t="s">
        <v>1134</v>
      </c>
      <c r="PG3" t="s">
        <v>1134</v>
      </c>
      <c r="PH3" t="s">
        <v>1134</v>
      </c>
      <c r="PI3" t="s">
        <v>1134</v>
      </c>
      <c r="PJ3" t="s">
        <v>1134</v>
      </c>
      <c r="PK3" t="s">
        <v>1134</v>
      </c>
      <c r="PL3" t="s">
        <v>1134</v>
      </c>
      <c r="PM3" t="s">
        <v>1134</v>
      </c>
      <c r="PN3" t="s">
        <v>1134</v>
      </c>
      <c r="PO3" t="s">
        <v>1134</v>
      </c>
      <c r="PP3" t="s">
        <v>1135</v>
      </c>
      <c r="PQ3" t="s">
        <v>1135</v>
      </c>
      <c r="PR3" t="s">
        <v>1135</v>
      </c>
      <c r="PS3" t="s">
        <v>1135</v>
      </c>
      <c r="PT3" t="s">
        <v>1135</v>
      </c>
      <c r="PU3" t="s">
        <v>1135</v>
      </c>
      <c r="PV3" t="s">
        <v>1135</v>
      </c>
      <c r="PW3" t="s">
        <v>1135</v>
      </c>
      <c r="PX3" t="s">
        <v>1135</v>
      </c>
      <c r="PY3" t="s">
        <v>1135</v>
      </c>
      <c r="PZ3" t="s">
        <v>1136</v>
      </c>
      <c r="QA3" t="s">
        <v>1136</v>
      </c>
      <c r="QB3" t="s">
        <v>1136</v>
      </c>
      <c r="QC3" t="s">
        <v>1136</v>
      </c>
      <c r="QD3" t="s">
        <v>1136</v>
      </c>
      <c r="QE3" t="s">
        <v>1136</v>
      </c>
      <c r="QF3" t="s">
        <v>1136</v>
      </c>
      <c r="QG3" t="s">
        <v>1136</v>
      </c>
      <c r="QH3" t="s">
        <v>1136</v>
      </c>
      <c r="QI3" t="s">
        <v>1136</v>
      </c>
      <c r="QJ3" t="s">
        <v>1137</v>
      </c>
      <c r="QK3" t="s">
        <v>1137</v>
      </c>
      <c r="QL3" t="s">
        <v>1137</v>
      </c>
      <c r="QM3" t="s">
        <v>1137</v>
      </c>
      <c r="QN3" t="s">
        <v>1137</v>
      </c>
      <c r="QO3" t="s">
        <v>1137</v>
      </c>
      <c r="QP3" t="s">
        <v>1137</v>
      </c>
      <c r="QQ3" t="s">
        <v>1137</v>
      </c>
      <c r="QR3" t="s">
        <v>1137</v>
      </c>
      <c r="QS3" t="s">
        <v>1137</v>
      </c>
      <c r="QT3" t="s">
        <v>1138</v>
      </c>
      <c r="QU3" t="s">
        <v>1138</v>
      </c>
      <c r="QV3" t="s">
        <v>1138</v>
      </c>
      <c r="QW3" t="s">
        <v>1138</v>
      </c>
      <c r="QX3" t="s">
        <v>1138</v>
      </c>
      <c r="QY3" t="s">
        <v>1138</v>
      </c>
      <c r="QZ3" t="s">
        <v>1138</v>
      </c>
      <c r="RA3" t="s">
        <v>1138</v>
      </c>
      <c r="RB3" t="s">
        <v>1138</v>
      </c>
      <c r="RC3" t="s">
        <v>1138</v>
      </c>
      <c r="RD3" t="s">
        <v>1139</v>
      </c>
      <c r="RE3" t="s">
        <v>1139</v>
      </c>
      <c r="RF3" t="s">
        <v>1139</v>
      </c>
      <c r="RG3" t="s">
        <v>1139</v>
      </c>
      <c r="RH3" t="s">
        <v>1139</v>
      </c>
      <c r="RI3" t="s">
        <v>1139</v>
      </c>
      <c r="RJ3" t="s">
        <v>1139</v>
      </c>
      <c r="RK3" t="s">
        <v>1139</v>
      </c>
      <c r="RL3" t="s">
        <v>1139</v>
      </c>
      <c r="RM3" t="s">
        <v>1139</v>
      </c>
      <c r="RN3" t="s">
        <v>1140</v>
      </c>
      <c r="RO3" t="s">
        <v>1140</v>
      </c>
      <c r="RP3" t="s">
        <v>1140</v>
      </c>
      <c r="RQ3" t="s">
        <v>1140</v>
      </c>
      <c r="RR3" t="s">
        <v>1140</v>
      </c>
      <c r="RS3" t="s">
        <v>1140</v>
      </c>
      <c r="RT3" t="s">
        <v>1140</v>
      </c>
      <c r="RU3" t="s">
        <v>1140</v>
      </c>
      <c r="RV3" t="s">
        <v>1140</v>
      </c>
      <c r="RW3" t="s">
        <v>1140</v>
      </c>
      <c r="RX3" t="s">
        <v>1141</v>
      </c>
      <c r="RY3" t="s">
        <v>1141</v>
      </c>
      <c r="RZ3" t="s">
        <v>1141</v>
      </c>
      <c r="SA3" t="s">
        <v>1141</v>
      </c>
      <c r="SB3" t="s">
        <v>1141</v>
      </c>
      <c r="SC3" t="s">
        <v>1141</v>
      </c>
      <c r="SD3" t="s">
        <v>1141</v>
      </c>
      <c r="SE3" t="s">
        <v>1141</v>
      </c>
      <c r="SF3" t="s">
        <v>1141</v>
      </c>
      <c r="SG3" t="s">
        <v>1141</v>
      </c>
      <c r="SH3" t="s">
        <v>1142</v>
      </c>
      <c r="SI3" t="s">
        <v>1142</v>
      </c>
      <c r="SJ3" t="s">
        <v>1142</v>
      </c>
      <c r="SK3" t="s">
        <v>1142</v>
      </c>
      <c r="SL3" t="s">
        <v>1142</v>
      </c>
      <c r="SM3" t="s">
        <v>1142</v>
      </c>
      <c r="SN3" t="s">
        <v>1142</v>
      </c>
      <c r="SO3" t="s">
        <v>1142</v>
      </c>
      <c r="SP3" t="s">
        <v>1142</v>
      </c>
      <c r="SQ3" t="s">
        <v>1142</v>
      </c>
      <c r="SR3" t="s">
        <v>1143</v>
      </c>
      <c r="SS3" t="s">
        <v>1143</v>
      </c>
      <c r="ST3" t="s">
        <v>1143</v>
      </c>
      <c r="SU3" t="s">
        <v>1143</v>
      </c>
      <c r="SV3" t="s">
        <v>1143</v>
      </c>
      <c r="SW3" t="s">
        <v>1143</v>
      </c>
      <c r="SX3" t="s">
        <v>1143</v>
      </c>
      <c r="SY3" t="s">
        <v>1143</v>
      </c>
      <c r="SZ3" t="s">
        <v>1143</v>
      </c>
      <c r="TA3" t="s">
        <v>1143</v>
      </c>
      <c r="TB3" t="s">
        <v>1144</v>
      </c>
      <c r="TC3" t="s">
        <v>1144</v>
      </c>
      <c r="TD3" t="s">
        <v>1144</v>
      </c>
      <c r="TE3" t="s">
        <v>1144</v>
      </c>
      <c r="TF3" t="s">
        <v>1144</v>
      </c>
      <c r="TG3" t="s">
        <v>1144</v>
      </c>
      <c r="TH3" t="s">
        <v>1144</v>
      </c>
      <c r="TI3" t="s">
        <v>1144</v>
      </c>
      <c r="TJ3" t="s">
        <v>1144</v>
      </c>
      <c r="TK3" t="s">
        <v>1144</v>
      </c>
      <c r="TL3" t="s">
        <v>1145</v>
      </c>
      <c r="TM3" t="s">
        <v>1145</v>
      </c>
      <c r="TN3" t="s">
        <v>1145</v>
      </c>
      <c r="TO3" t="s">
        <v>1145</v>
      </c>
      <c r="TP3" t="s">
        <v>1145</v>
      </c>
      <c r="TQ3" t="s">
        <v>1145</v>
      </c>
      <c r="TR3" t="s">
        <v>1145</v>
      </c>
      <c r="TS3" t="s">
        <v>1145</v>
      </c>
      <c r="TT3" t="s">
        <v>1145</v>
      </c>
      <c r="TU3" t="s">
        <v>1145</v>
      </c>
      <c r="TV3" t="s">
        <v>1146</v>
      </c>
      <c r="TW3" t="s">
        <v>1146</v>
      </c>
      <c r="TX3" t="s">
        <v>1146</v>
      </c>
      <c r="TY3" t="s">
        <v>1146</v>
      </c>
      <c r="TZ3" t="s">
        <v>1146</v>
      </c>
      <c r="UA3" t="s">
        <v>1146</v>
      </c>
      <c r="UB3" t="s">
        <v>1146</v>
      </c>
      <c r="UC3" t="s">
        <v>1146</v>
      </c>
      <c r="UD3" t="s">
        <v>1146</v>
      </c>
      <c r="UE3" t="s">
        <v>1146</v>
      </c>
      <c r="UF3" t="s">
        <v>1147</v>
      </c>
      <c r="UG3" t="s">
        <v>1147</v>
      </c>
      <c r="UH3" t="s">
        <v>1147</v>
      </c>
      <c r="UI3" t="s">
        <v>1147</v>
      </c>
      <c r="UJ3" t="s">
        <v>1147</v>
      </c>
      <c r="UK3" t="s">
        <v>1147</v>
      </c>
      <c r="UL3" t="s">
        <v>1147</v>
      </c>
      <c r="UM3" t="s">
        <v>1147</v>
      </c>
      <c r="UN3" t="s">
        <v>1147</v>
      </c>
      <c r="UO3" t="s">
        <v>1147</v>
      </c>
      <c r="UP3" t="s">
        <v>1148</v>
      </c>
      <c r="UQ3" t="s">
        <v>1148</v>
      </c>
      <c r="UR3" t="s">
        <v>1148</v>
      </c>
      <c r="US3" t="s">
        <v>1148</v>
      </c>
      <c r="UT3" t="s">
        <v>1148</v>
      </c>
      <c r="UU3" t="s">
        <v>1148</v>
      </c>
      <c r="UV3" t="s">
        <v>1148</v>
      </c>
      <c r="UW3" t="s">
        <v>1148</v>
      </c>
      <c r="UX3" t="s">
        <v>1148</v>
      </c>
      <c r="UY3" t="s">
        <v>1148</v>
      </c>
      <c r="UZ3" t="s">
        <v>1149</v>
      </c>
      <c r="VA3" t="s">
        <v>1149</v>
      </c>
      <c r="VB3" t="s">
        <v>1149</v>
      </c>
      <c r="VC3" t="s">
        <v>1149</v>
      </c>
      <c r="VD3" t="s">
        <v>1149</v>
      </c>
      <c r="VE3" t="s">
        <v>1149</v>
      </c>
      <c r="VF3" t="s">
        <v>1149</v>
      </c>
      <c r="VG3" t="s">
        <v>1149</v>
      </c>
      <c r="VH3" t="s">
        <v>1149</v>
      </c>
      <c r="VI3" t="s">
        <v>1149</v>
      </c>
      <c r="VJ3" t="s">
        <v>1150</v>
      </c>
      <c r="VK3" t="s">
        <v>1150</v>
      </c>
      <c r="VL3" t="s">
        <v>1150</v>
      </c>
      <c r="VM3" t="s">
        <v>1150</v>
      </c>
      <c r="VN3" t="s">
        <v>1150</v>
      </c>
      <c r="VO3" t="s">
        <v>1150</v>
      </c>
      <c r="VP3" t="s">
        <v>1150</v>
      </c>
      <c r="VQ3" t="s">
        <v>1150</v>
      </c>
      <c r="VR3" t="s">
        <v>1150</v>
      </c>
      <c r="VS3" t="s">
        <v>1150</v>
      </c>
      <c r="VT3" t="s">
        <v>1151</v>
      </c>
      <c r="VU3" t="s">
        <v>1151</v>
      </c>
      <c r="VV3" t="s">
        <v>1151</v>
      </c>
      <c r="VW3" t="s">
        <v>1151</v>
      </c>
      <c r="VX3" t="s">
        <v>1151</v>
      </c>
      <c r="VY3" t="s">
        <v>1151</v>
      </c>
      <c r="VZ3" t="s">
        <v>1151</v>
      </c>
      <c r="WA3" t="s">
        <v>1151</v>
      </c>
      <c r="WB3" t="s">
        <v>1151</v>
      </c>
      <c r="WC3" t="s">
        <v>1151</v>
      </c>
      <c r="WD3" t="s">
        <v>1152</v>
      </c>
      <c r="WE3" t="s">
        <v>1152</v>
      </c>
      <c r="WF3" t="s">
        <v>1152</v>
      </c>
      <c r="WG3" t="s">
        <v>1152</v>
      </c>
      <c r="WH3" t="s">
        <v>1152</v>
      </c>
      <c r="WI3" t="s">
        <v>1152</v>
      </c>
      <c r="WJ3" t="s">
        <v>1152</v>
      </c>
      <c r="WK3" t="s">
        <v>1152</v>
      </c>
      <c r="WL3" t="s">
        <v>1152</v>
      </c>
      <c r="WM3" t="s">
        <v>1152</v>
      </c>
      <c r="WN3" t="s">
        <v>1153</v>
      </c>
      <c r="WO3" t="s">
        <v>1153</v>
      </c>
      <c r="WP3" t="s">
        <v>1153</v>
      </c>
      <c r="WQ3" t="s">
        <v>1153</v>
      </c>
      <c r="WR3" t="s">
        <v>1153</v>
      </c>
      <c r="WS3" t="s">
        <v>1153</v>
      </c>
      <c r="WT3" t="s">
        <v>1153</v>
      </c>
      <c r="WU3" t="s">
        <v>1153</v>
      </c>
      <c r="WV3" t="s">
        <v>1153</v>
      </c>
      <c r="WW3" t="s">
        <v>1153</v>
      </c>
      <c r="WX3" t="s">
        <v>1154</v>
      </c>
      <c r="WY3" t="s">
        <v>1154</v>
      </c>
      <c r="WZ3" t="s">
        <v>1154</v>
      </c>
      <c r="XA3" t="s">
        <v>1154</v>
      </c>
      <c r="XB3" t="s">
        <v>1154</v>
      </c>
      <c r="XC3" t="s">
        <v>1154</v>
      </c>
      <c r="XD3" t="s">
        <v>1154</v>
      </c>
      <c r="XE3" t="s">
        <v>1154</v>
      </c>
      <c r="XF3" t="s">
        <v>1154</v>
      </c>
      <c r="XG3" t="s">
        <v>1154</v>
      </c>
      <c r="XH3" t="s">
        <v>1155</v>
      </c>
      <c r="XI3" t="s">
        <v>1155</v>
      </c>
      <c r="XJ3" t="s">
        <v>1155</v>
      </c>
      <c r="XK3" t="s">
        <v>1155</v>
      </c>
      <c r="XL3" t="s">
        <v>1155</v>
      </c>
      <c r="XM3" t="s">
        <v>1155</v>
      </c>
      <c r="XN3" t="s">
        <v>1155</v>
      </c>
      <c r="XO3" t="s">
        <v>1155</v>
      </c>
      <c r="XP3" t="s">
        <v>1155</v>
      </c>
      <c r="XQ3" t="s">
        <v>1155</v>
      </c>
      <c r="XR3" t="s">
        <v>1156</v>
      </c>
      <c r="XS3" t="s">
        <v>1156</v>
      </c>
      <c r="XT3" t="s">
        <v>1156</v>
      </c>
      <c r="XU3" t="s">
        <v>1156</v>
      </c>
      <c r="XV3" t="s">
        <v>1156</v>
      </c>
      <c r="XW3" t="s">
        <v>1156</v>
      </c>
      <c r="XX3" t="s">
        <v>1156</v>
      </c>
      <c r="XY3" t="s">
        <v>1156</v>
      </c>
      <c r="XZ3" t="s">
        <v>1156</v>
      </c>
      <c r="YA3" t="s">
        <v>1156</v>
      </c>
      <c r="YB3" t="s">
        <v>1157</v>
      </c>
      <c r="YC3" t="s">
        <v>1157</v>
      </c>
      <c r="YD3" t="s">
        <v>1157</v>
      </c>
      <c r="YE3" t="s">
        <v>1157</v>
      </c>
      <c r="YF3" t="s">
        <v>1157</v>
      </c>
      <c r="YG3" t="s">
        <v>1157</v>
      </c>
      <c r="YH3" t="s">
        <v>1157</v>
      </c>
      <c r="YI3" t="s">
        <v>1157</v>
      </c>
      <c r="YJ3" t="s">
        <v>1157</v>
      </c>
      <c r="YK3" t="s">
        <v>1157</v>
      </c>
      <c r="YL3" t="s">
        <v>1158</v>
      </c>
      <c r="YM3" t="s">
        <v>1158</v>
      </c>
      <c r="YN3" t="s">
        <v>1158</v>
      </c>
      <c r="YO3" t="s">
        <v>1158</v>
      </c>
      <c r="YP3" t="s">
        <v>1158</v>
      </c>
      <c r="YQ3" t="s">
        <v>1158</v>
      </c>
      <c r="YR3" t="s">
        <v>1158</v>
      </c>
      <c r="YS3" t="s">
        <v>1158</v>
      </c>
      <c r="YT3" t="s">
        <v>1158</v>
      </c>
      <c r="YU3" t="s">
        <v>1158</v>
      </c>
      <c r="YV3" t="s">
        <v>1159</v>
      </c>
      <c r="YW3" t="s">
        <v>1159</v>
      </c>
      <c r="YX3" t="s">
        <v>1159</v>
      </c>
      <c r="YY3" t="s">
        <v>1159</v>
      </c>
      <c r="YZ3" t="s">
        <v>1159</v>
      </c>
      <c r="ZA3" t="s">
        <v>1159</v>
      </c>
      <c r="ZB3" t="s">
        <v>1159</v>
      </c>
      <c r="ZC3" t="s">
        <v>1159</v>
      </c>
      <c r="ZD3" t="s">
        <v>1159</v>
      </c>
      <c r="ZE3" t="s">
        <v>1159</v>
      </c>
      <c r="ZF3" t="s">
        <v>1160</v>
      </c>
      <c r="ZG3" t="s">
        <v>1160</v>
      </c>
      <c r="ZH3" t="s">
        <v>1160</v>
      </c>
      <c r="ZI3" t="s">
        <v>1160</v>
      </c>
      <c r="ZJ3" t="s">
        <v>1160</v>
      </c>
      <c r="ZK3" t="s">
        <v>1160</v>
      </c>
      <c r="ZL3" t="s">
        <v>1160</v>
      </c>
      <c r="ZM3" t="s">
        <v>1160</v>
      </c>
      <c r="ZN3" t="s">
        <v>1160</v>
      </c>
      <c r="ZO3" t="s">
        <v>1160</v>
      </c>
      <c r="ZP3" t="s">
        <v>1161</v>
      </c>
      <c r="ZQ3" t="s">
        <v>1161</v>
      </c>
      <c r="ZR3" t="s">
        <v>1161</v>
      </c>
      <c r="ZS3" t="s">
        <v>1161</v>
      </c>
      <c r="ZT3" t="s">
        <v>1161</v>
      </c>
      <c r="ZU3" t="s">
        <v>1161</v>
      </c>
      <c r="ZV3" t="s">
        <v>1161</v>
      </c>
      <c r="ZW3" t="s">
        <v>1161</v>
      </c>
      <c r="ZX3" t="s">
        <v>1161</v>
      </c>
      <c r="ZY3" t="s">
        <v>1161</v>
      </c>
      <c r="ZZ3" t="s">
        <v>1162</v>
      </c>
      <c r="AAA3" t="s">
        <v>1162</v>
      </c>
      <c r="AAB3" t="s">
        <v>1162</v>
      </c>
      <c r="AAC3" t="s">
        <v>1162</v>
      </c>
      <c r="AAD3" t="s">
        <v>1162</v>
      </c>
      <c r="AAE3" t="s">
        <v>1162</v>
      </c>
      <c r="AAF3" t="s">
        <v>1162</v>
      </c>
      <c r="AAG3" t="s">
        <v>1162</v>
      </c>
      <c r="AAH3" t="s">
        <v>1162</v>
      </c>
      <c r="AAI3" t="s">
        <v>1162</v>
      </c>
      <c r="AAJ3" t="s">
        <v>1163</v>
      </c>
      <c r="AAK3" t="s">
        <v>1163</v>
      </c>
      <c r="AAL3" t="s">
        <v>1163</v>
      </c>
      <c r="AAM3" t="s">
        <v>1163</v>
      </c>
      <c r="AAN3" t="s">
        <v>1163</v>
      </c>
      <c r="AAO3" t="s">
        <v>1163</v>
      </c>
      <c r="AAP3" t="s">
        <v>1163</v>
      </c>
      <c r="AAQ3" t="s">
        <v>1163</v>
      </c>
      <c r="AAR3" t="s">
        <v>1163</v>
      </c>
      <c r="AAS3" t="s">
        <v>1163</v>
      </c>
      <c r="AAT3" t="s">
        <v>1164</v>
      </c>
      <c r="AAU3" t="s">
        <v>1164</v>
      </c>
      <c r="AAV3" t="s">
        <v>1164</v>
      </c>
      <c r="AAW3" t="s">
        <v>1164</v>
      </c>
      <c r="AAX3" t="s">
        <v>1164</v>
      </c>
      <c r="AAY3" t="s">
        <v>1164</v>
      </c>
      <c r="AAZ3" t="s">
        <v>1164</v>
      </c>
      <c r="ABA3" t="s">
        <v>1164</v>
      </c>
      <c r="ABB3" t="s">
        <v>1164</v>
      </c>
      <c r="ABC3" t="s">
        <v>1164</v>
      </c>
      <c r="ABD3" t="s">
        <v>1165</v>
      </c>
      <c r="ABE3" t="s">
        <v>1165</v>
      </c>
      <c r="ABF3" t="s">
        <v>1165</v>
      </c>
      <c r="ABG3" t="s">
        <v>1165</v>
      </c>
      <c r="ABH3" t="s">
        <v>1165</v>
      </c>
      <c r="ABI3" t="s">
        <v>1165</v>
      </c>
      <c r="ABJ3" t="s">
        <v>1165</v>
      </c>
      <c r="ABK3" t="s">
        <v>1165</v>
      </c>
      <c r="ABL3" t="s">
        <v>1165</v>
      </c>
      <c r="ABM3" t="s">
        <v>1165</v>
      </c>
      <c r="ABN3" t="s">
        <v>1166</v>
      </c>
      <c r="ABO3" t="s">
        <v>1166</v>
      </c>
      <c r="ABP3" t="s">
        <v>1166</v>
      </c>
      <c r="ABQ3" t="s">
        <v>1166</v>
      </c>
      <c r="ABR3" t="s">
        <v>1166</v>
      </c>
      <c r="ABS3" t="s">
        <v>1166</v>
      </c>
      <c r="ABT3" t="s">
        <v>1166</v>
      </c>
      <c r="ABU3" t="s">
        <v>1166</v>
      </c>
      <c r="ABV3" t="s">
        <v>1166</v>
      </c>
      <c r="ABW3" t="s">
        <v>1166</v>
      </c>
      <c r="ABX3" t="s">
        <v>1167</v>
      </c>
      <c r="ABY3" t="s">
        <v>1167</v>
      </c>
      <c r="ABZ3" t="s">
        <v>1167</v>
      </c>
      <c r="ACA3" t="s">
        <v>1167</v>
      </c>
      <c r="ACB3" t="s">
        <v>1167</v>
      </c>
      <c r="ACC3" t="s">
        <v>1167</v>
      </c>
      <c r="ACD3" t="s">
        <v>1167</v>
      </c>
      <c r="ACE3" t="s">
        <v>1167</v>
      </c>
      <c r="ACF3" t="s">
        <v>1167</v>
      </c>
      <c r="ACG3" t="s">
        <v>1167</v>
      </c>
      <c r="ACH3" t="s">
        <v>1168</v>
      </c>
      <c r="ACI3" t="s">
        <v>1168</v>
      </c>
      <c r="ACJ3" t="s">
        <v>1168</v>
      </c>
      <c r="ACK3" t="s">
        <v>1168</v>
      </c>
      <c r="ACL3" t="s">
        <v>1168</v>
      </c>
      <c r="ACM3" t="s">
        <v>1168</v>
      </c>
      <c r="ACN3" t="s">
        <v>1168</v>
      </c>
      <c r="ACO3" t="s">
        <v>1168</v>
      </c>
      <c r="ACP3" t="s">
        <v>1168</v>
      </c>
      <c r="ACQ3" t="s">
        <v>1168</v>
      </c>
      <c r="ACR3" t="s">
        <v>1169</v>
      </c>
      <c r="ACS3" t="s">
        <v>1169</v>
      </c>
      <c r="ACT3" t="s">
        <v>1169</v>
      </c>
      <c r="ACU3" t="s">
        <v>1169</v>
      </c>
      <c r="ACV3" t="s">
        <v>1169</v>
      </c>
      <c r="ACW3" t="s">
        <v>1169</v>
      </c>
      <c r="ACX3" t="s">
        <v>1169</v>
      </c>
      <c r="ACY3" t="s">
        <v>1169</v>
      </c>
      <c r="ACZ3" t="s">
        <v>1169</v>
      </c>
      <c r="ADA3" t="s">
        <v>1169</v>
      </c>
      <c r="ADB3" t="s">
        <v>1170</v>
      </c>
      <c r="ADC3" t="s">
        <v>1170</v>
      </c>
      <c r="ADD3" t="s">
        <v>1170</v>
      </c>
      <c r="ADE3" t="s">
        <v>1170</v>
      </c>
      <c r="ADF3" t="s">
        <v>1170</v>
      </c>
      <c r="ADG3" t="s">
        <v>1170</v>
      </c>
      <c r="ADH3" t="s">
        <v>1170</v>
      </c>
      <c r="ADI3" t="s">
        <v>1170</v>
      </c>
      <c r="ADJ3" t="s">
        <v>1170</v>
      </c>
      <c r="ADK3" t="s">
        <v>1170</v>
      </c>
      <c r="ADL3" t="s">
        <v>1171</v>
      </c>
      <c r="ADM3" t="s">
        <v>1171</v>
      </c>
      <c r="ADN3" t="s">
        <v>1171</v>
      </c>
      <c r="ADO3" t="s">
        <v>1171</v>
      </c>
      <c r="ADP3" t="s">
        <v>1171</v>
      </c>
      <c r="ADQ3" t="s">
        <v>1171</v>
      </c>
      <c r="ADR3" t="s">
        <v>1171</v>
      </c>
      <c r="ADS3" t="s">
        <v>1171</v>
      </c>
      <c r="ADT3" t="s">
        <v>1171</v>
      </c>
      <c r="ADU3" t="s">
        <v>1171</v>
      </c>
      <c r="ADV3" t="s">
        <v>1172</v>
      </c>
      <c r="ADW3" t="s">
        <v>1172</v>
      </c>
      <c r="ADX3" t="s">
        <v>1172</v>
      </c>
      <c r="ADY3" t="s">
        <v>1172</v>
      </c>
      <c r="ADZ3" t="s">
        <v>1172</v>
      </c>
      <c r="AEA3" t="s">
        <v>1172</v>
      </c>
      <c r="AEB3" t="s">
        <v>1172</v>
      </c>
      <c r="AEC3" t="s">
        <v>1172</v>
      </c>
      <c r="AED3" t="s">
        <v>1172</v>
      </c>
      <c r="AEE3" t="s">
        <v>1172</v>
      </c>
      <c r="AEF3" t="s">
        <v>1173</v>
      </c>
      <c r="AEG3" t="s">
        <v>1173</v>
      </c>
      <c r="AEH3" t="s">
        <v>1173</v>
      </c>
      <c r="AEI3" t="s">
        <v>1173</v>
      </c>
      <c r="AEJ3" t="s">
        <v>1173</v>
      </c>
      <c r="AEK3" t="s">
        <v>1173</v>
      </c>
      <c r="AEL3" t="s">
        <v>1173</v>
      </c>
      <c r="AEM3" t="s">
        <v>1173</v>
      </c>
      <c r="AEN3" t="s">
        <v>1173</v>
      </c>
      <c r="AEO3" t="s">
        <v>1173</v>
      </c>
      <c r="AEP3" t="s">
        <v>1174</v>
      </c>
      <c r="AEQ3" t="s">
        <v>1174</v>
      </c>
      <c r="AER3" t="s">
        <v>1174</v>
      </c>
      <c r="AES3" t="s">
        <v>1174</v>
      </c>
      <c r="AET3" t="s">
        <v>1174</v>
      </c>
      <c r="AEU3" t="s">
        <v>1174</v>
      </c>
      <c r="AEV3" t="s">
        <v>1174</v>
      </c>
      <c r="AEW3" t="s">
        <v>1174</v>
      </c>
      <c r="AEX3" t="s">
        <v>1174</v>
      </c>
      <c r="AEY3" t="s">
        <v>1174</v>
      </c>
      <c r="AEZ3" t="s">
        <v>1175</v>
      </c>
      <c r="AFA3" t="s">
        <v>1175</v>
      </c>
      <c r="AFB3" t="s">
        <v>1175</v>
      </c>
      <c r="AFC3" t="s">
        <v>1175</v>
      </c>
      <c r="AFD3" t="s">
        <v>1175</v>
      </c>
      <c r="AFE3" t="s">
        <v>1175</v>
      </c>
      <c r="AFF3" t="s">
        <v>1175</v>
      </c>
      <c r="AFG3" t="s">
        <v>1175</v>
      </c>
      <c r="AFH3" t="s">
        <v>1175</v>
      </c>
      <c r="AFI3" t="s">
        <v>1175</v>
      </c>
      <c r="AFJ3" t="s">
        <v>1176</v>
      </c>
      <c r="AFK3" t="s">
        <v>1176</v>
      </c>
      <c r="AFL3" t="s">
        <v>1176</v>
      </c>
      <c r="AFM3" t="s">
        <v>1176</v>
      </c>
      <c r="AFN3" t="s">
        <v>1176</v>
      </c>
      <c r="AFO3" t="s">
        <v>1176</v>
      </c>
      <c r="AFP3" t="s">
        <v>1176</v>
      </c>
      <c r="AFQ3" t="s">
        <v>1176</v>
      </c>
      <c r="AFR3" t="s">
        <v>1176</v>
      </c>
      <c r="AFS3" t="s">
        <v>1176</v>
      </c>
      <c r="AFT3" t="s">
        <v>1177</v>
      </c>
      <c r="AFU3" t="s">
        <v>1177</v>
      </c>
      <c r="AFV3" t="s">
        <v>1177</v>
      </c>
      <c r="AFW3" t="s">
        <v>1177</v>
      </c>
      <c r="AFX3" t="s">
        <v>1177</v>
      </c>
      <c r="AFY3" t="s">
        <v>1177</v>
      </c>
      <c r="AFZ3" t="s">
        <v>1177</v>
      </c>
      <c r="AGA3" t="s">
        <v>1177</v>
      </c>
      <c r="AGB3" t="s">
        <v>1177</v>
      </c>
      <c r="AGC3" t="s">
        <v>1177</v>
      </c>
      <c r="AGD3" t="s">
        <v>1178</v>
      </c>
      <c r="AGE3" t="s">
        <v>1178</v>
      </c>
      <c r="AGF3" t="s">
        <v>1178</v>
      </c>
      <c r="AGG3" t="s">
        <v>1178</v>
      </c>
      <c r="AGH3" t="s">
        <v>1178</v>
      </c>
      <c r="AGI3" t="s">
        <v>1178</v>
      </c>
      <c r="AGJ3" t="s">
        <v>1178</v>
      </c>
      <c r="AGK3" t="s">
        <v>1178</v>
      </c>
      <c r="AGL3" t="s">
        <v>1178</v>
      </c>
      <c r="AGM3" t="s">
        <v>1178</v>
      </c>
      <c r="AGN3" t="s">
        <v>1179</v>
      </c>
      <c r="AGO3" t="s">
        <v>1179</v>
      </c>
      <c r="AGP3" t="s">
        <v>1179</v>
      </c>
      <c r="AGQ3" t="s">
        <v>1179</v>
      </c>
      <c r="AGR3" t="s">
        <v>1179</v>
      </c>
      <c r="AGS3" t="s">
        <v>1179</v>
      </c>
      <c r="AGT3" t="s">
        <v>1179</v>
      </c>
      <c r="AGU3" t="s">
        <v>1179</v>
      </c>
      <c r="AGV3" t="s">
        <v>1179</v>
      </c>
      <c r="AGW3" t="s">
        <v>1179</v>
      </c>
      <c r="AGX3" t="s">
        <v>1180</v>
      </c>
      <c r="AGY3" t="s">
        <v>1180</v>
      </c>
      <c r="AGZ3" t="s">
        <v>1180</v>
      </c>
      <c r="AHA3" t="s">
        <v>1180</v>
      </c>
      <c r="AHB3" t="s">
        <v>1180</v>
      </c>
      <c r="AHC3" t="s">
        <v>1180</v>
      </c>
      <c r="AHD3" t="s">
        <v>1180</v>
      </c>
      <c r="AHE3" t="s">
        <v>1180</v>
      </c>
      <c r="AHF3" t="s">
        <v>1180</v>
      </c>
      <c r="AHG3" t="s">
        <v>1180</v>
      </c>
      <c r="AHH3" t="s">
        <v>1181</v>
      </c>
      <c r="AHI3" t="s">
        <v>1181</v>
      </c>
      <c r="AHJ3" t="s">
        <v>1181</v>
      </c>
      <c r="AHK3" t="s">
        <v>1181</v>
      </c>
      <c r="AHL3" t="s">
        <v>1181</v>
      </c>
      <c r="AHM3" t="s">
        <v>1181</v>
      </c>
      <c r="AHN3" t="s">
        <v>1181</v>
      </c>
      <c r="AHO3" t="s">
        <v>1181</v>
      </c>
      <c r="AHP3" t="s">
        <v>1181</v>
      </c>
      <c r="AHQ3" t="s">
        <v>1181</v>
      </c>
      <c r="AHR3" t="s">
        <v>1182</v>
      </c>
      <c r="AHS3" t="s">
        <v>1182</v>
      </c>
      <c r="AHT3" t="s">
        <v>1182</v>
      </c>
      <c r="AHU3" t="s">
        <v>1182</v>
      </c>
      <c r="AHV3" t="s">
        <v>1182</v>
      </c>
      <c r="AHW3" t="s">
        <v>1182</v>
      </c>
      <c r="AHX3" t="s">
        <v>1182</v>
      </c>
      <c r="AHY3" t="s">
        <v>1182</v>
      </c>
      <c r="AHZ3" t="s">
        <v>1182</v>
      </c>
      <c r="AIA3" t="s">
        <v>1182</v>
      </c>
      <c r="AIB3" t="s">
        <v>1183</v>
      </c>
      <c r="AIC3" t="s">
        <v>1183</v>
      </c>
      <c r="AID3" t="s">
        <v>1183</v>
      </c>
      <c r="AIE3" t="s">
        <v>1183</v>
      </c>
      <c r="AIF3" t="s">
        <v>1183</v>
      </c>
      <c r="AIG3" t="s">
        <v>1183</v>
      </c>
      <c r="AIH3" t="s">
        <v>1183</v>
      </c>
      <c r="AII3" t="s">
        <v>1183</v>
      </c>
      <c r="AIJ3" t="s">
        <v>1183</v>
      </c>
      <c r="AIK3" t="s">
        <v>1183</v>
      </c>
      <c r="AIL3" t="s">
        <v>1184</v>
      </c>
      <c r="AIM3" t="s">
        <v>1184</v>
      </c>
      <c r="AIN3" t="s">
        <v>1184</v>
      </c>
      <c r="AIO3" t="s">
        <v>1184</v>
      </c>
      <c r="AIP3" t="s">
        <v>1184</v>
      </c>
      <c r="AIQ3" t="s">
        <v>1184</v>
      </c>
      <c r="AIR3" t="s">
        <v>1184</v>
      </c>
      <c r="AIS3" t="s">
        <v>1184</v>
      </c>
      <c r="AIT3" t="s">
        <v>1184</v>
      </c>
      <c r="AIU3" t="s">
        <v>1184</v>
      </c>
      <c r="AIV3" t="s">
        <v>1185</v>
      </c>
      <c r="AIW3" t="s">
        <v>1185</v>
      </c>
      <c r="AIX3" t="s">
        <v>1185</v>
      </c>
      <c r="AIY3" t="s">
        <v>1185</v>
      </c>
      <c r="AIZ3" t="s">
        <v>1185</v>
      </c>
      <c r="AJA3" t="s">
        <v>1185</v>
      </c>
      <c r="AJB3" t="s">
        <v>1185</v>
      </c>
      <c r="AJC3" t="s">
        <v>1185</v>
      </c>
      <c r="AJD3" t="s">
        <v>1185</v>
      </c>
      <c r="AJE3" t="s">
        <v>1185</v>
      </c>
      <c r="AJF3" t="s">
        <v>1186</v>
      </c>
      <c r="AJG3" t="s">
        <v>1186</v>
      </c>
      <c r="AJH3" t="s">
        <v>1186</v>
      </c>
      <c r="AJI3" t="s">
        <v>1186</v>
      </c>
      <c r="AJJ3" t="s">
        <v>1186</v>
      </c>
      <c r="AJK3" t="s">
        <v>1186</v>
      </c>
      <c r="AJL3" t="s">
        <v>1186</v>
      </c>
      <c r="AJM3" t="s">
        <v>1186</v>
      </c>
      <c r="AJN3" t="s">
        <v>1186</v>
      </c>
      <c r="AJO3" t="s">
        <v>1186</v>
      </c>
      <c r="AJP3" t="s">
        <v>1187</v>
      </c>
      <c r="AJQ3" t="s">
        <v>1187</v>
      </c>
      <c r="AJR3" t="s">
        <v>1187</v>
      </c>
      <c r="AJS3" t="s">
        <v>1187</v>
      </c>
      <c r="AJT3" t="s">
        <v>1187</v>
      </c>
      <c r="AJU3" t="s">
        <v>1187</v>
      </c>
      <c r="AJV3" t="s">
        <v>1187</v>
      </c>
      <c r="AJW3" t="s">
        <v>1187</v>
      </c>
      <c r="AJX3" t="s">
        <v>1187</v>
      </c>
      <c r="AJY3" t="s">
        <v>1187</v>
      </c>
      <c r="AJZ3" t="s">
        <v>1188</v>
      </c>
      <c r="AKA3" t="s">
        <v>1188</v>
      </c>
      <c r="AKB3" t="s">
        <v>1188</v>
      </c>
      <c r="AKC3" t="s">
        <v>1188</v>
      </c>
      <c r="AKD3" t="s">
        <v>1188</v>
      </c>
      <c r="AKE3" t="s">
        <v>1188</v>
      </c>
      <c r="AKF3" t="s">
        <v>1188</v>
      </c>
      <c r="AKG3" t="s">
        <v>1188</v>
      </c>
      <c r="AKH3" t="s">
        <v>1188</v>
      </c>
      <c r="AKI3" t="s">
        <v>1188</v>
      </c>
      <c r="AKJ3" t="s">
        <v>1189</v>
      </c>
      <c r="AKK3" t="s">
        <v>1189</v>
      </c>
      <c r="AKL3" t="s">
        <v>1189</v>
      </c>
      <c r="AKM3" t="s">
        <v>1189</v>
      </c>
      <c r="AKN3" t="s">
        <v>1189</v>
      </c>
      <c r="AKO3" t="s">
        <v>1189</v>
      </c>
      <c r="AKP3" t="s">
        <v>1189</v>
      </c>
      <c r="AKQ3" t="s">
        <v>1189</v>
      </c>
      <c r="AKR3" t="s">
        <v>1189</v>
      </c>
      <c r="AKS3" t="s">
        <v>1189</v>
      </c>
      <c r="AKT3" t="s">
        <v>1190</v>
      </c>
      <c r="AKU3" t="s">
        <v>1190</v>
      </c>
      <c r="AKV3" t="s">
        <v>1190</v>
      </c>
      <c r="AKW3" t="s">
        <v>1190</v>
      </c>
      <c r="AKX3" t="s">
        <v>1190</v>
      </c>
      <c r="AKY3" t="s">
        <v>1190</v>
      </c>
      <c r="AKZ3" t="s">
        <v>1190</v>
      </c>
      <c r="ALA3" t="s">
        <v>1190</v>
      </c>
      <c r="ALB3" t="s">
        <v>1190</v>
      </c>
      <c r="ALC3" t="s">
        <v>1190</v>
      </c>
      <c r="ALD3" t="s">
        <v>1191</v>
      </c>
      <c r="ALE3" t="s">
        <v>1191</v>
      </c>
      <c r="ALF3" t="s">
        <v>1191</v>
      </c>
      <c r="ALG3" t="s">
        <v>1191</v>
      </c>
      <c r="ALH3" t="s">
        <v>1191</v>
      </c>
      <c r="ALI3" t="s">
        <v>1191</v>
      </c>
      <c r="ALJ3" t="s">
        <v>1191</v>
      </c>
      <c r="ALK3" t="s">
        <v>1191</v>
      </c>
      <c r="ALL3" t="s">
        <v>1191</v>
      </c>
    </row>
    <row r="4" spans="1:1000" x14ac:dyDescent="0.3">
      <c r="A4" t="s">
        <v>1192</v>
      </c>
      <c r="B4" t="s">
        <v>1192</v>
      </c>
      <c r="C4" t="s">
        <v>1192</v>
      </c>
      <c r="D4" t="s">
        <v>1192</v>
      </c>
      <c r="E4" t="s">
        <v>1192</v>
      </c>
      <c r="F4" t="s">
        <v>1192</v>
      </c>
      <c r="G4" t="s">
        <v>1192</v>
      </c>
      <c r="H4" t="s">
        <v>1192</v>
      </c>
      <c r="I4" t="s">
        <v>1192</v>
      </c>
      <c r="J4" t="s">
        <v>1192</v>
      </c>
      <c r="K4" t="s">
        <v>1192</v>
      </c>
      <c r="L4" t="s">
        <v>1192</v>
      </c>
      <c r="M4" t="s">
        <v>1192</v>
      </c>
      <c r="N4" t="s">
        <v>1192</v>
      </c>
      <c r="O4" t="s">
        <v>1192</v>
      </c>
      <c r="P4" t="s">
        <v>1192</v>
      </c>
      <c r="Q4" t="s">
        <v>1192</v>
      </c>
      <c r="R4" t="s">
        <v>1192</v>
      </c>
      <c r="S4" t="s">
        <v>1192</v>
      </c>
      <c r="T4" t="s">
        <v>1192</v>
      </c>
      <c r="U4" t="s">
        <v>1192</v>
      </c>
      <c r="V4" t="s">
        <v>1192</v>
      </c>
      <c r="W4" t="s">
        <v>1192</v>
      </c>
      <c r="X4" t="s">
        <v>1192</v>
      </c>
      <c r="Y4" t="s">
        <v>1192</v>
      </c>
      <c r="Z4" t="s">
        <v>1192</v>
      </c>
      <c r="AA4" t="s">
        <v>1192</v>
      </c>
      <c r="AB4" t="s">
        <v>1192</v>
      </c>
      <c r="AC4" t="s">
        <v>1192</v>
      </c>
      <c r="AD4" t="s">
        <v>1192</v>
      </c>
      <c r="AE4" t="s">
        <v>1192</v>
      </c>
      <c r="AF4" t="s">
        <v>1192</v>
      </c>
      <c r="AG4" t="s">
        <v>1192</v>
      </c>
      <c r="AH4" t="s">
        <v>1192</v>
      </c>
      <c r="AI4" t="s">
        <v>1192</v>
      </c>
      <c r="AJ4" t="s">
        <v>1192</v>
      </c>
      <c r="AK4" t="s">
        <v>1192</v>
      </c>
      <c r="AL4" t="s">
        <v>1192</v>
      </c>
      <c r="AM4" t="s">
        <v>1192</v>
      </c>
      <c r="AN4" t="s">
        <v>1192</v>
      </c>
      <c r="AO4" t="s">
        <v>1192</v>
      </c>
      <c r="AP4" t="s">
        <v>1192</v>
      </c>
      <c r="AQ4" t="s">
        <v>1192</v>
      </c>
      <c r="AR4" t="s">
        <v>1192</v>
      </c>
      <c r="AS4" t="s">
        <v>1192</v>
      </c>
      <c r="AT4" t="s">
        <v>1192</v>
      </c>
      <c r="AU4" t="s">
        <v>1192</v>
      </c>
      <c r="AV4" t="s">
        <v>1192</v>
      </c>
      <c r="AW4" t="s">
        <v>1192</v>
      </c>
      <c r="AX4" t="s">
        <v>1192</v>
      </c>
      <c r="AY4" t="s">
        <v>1192</v>
      </c>
      <c r="AZ4" t="s">
        <v>1193</v>
      </c>
      <c r="BA4" t="s">
        <v>1193</v>
      </c>
      <c r="BB4" t="s">
        <v>1193</v>
      </c>
      <c r="BC4" t="s">
        <v>1193</v>
      </c>
      <c r="BD4" t="s">
        <v>1193</v>
      </c>
      <c r="BE4" t="s">
        <v>1193</v>
      </c>
      <c r="BF4" t="s">
        <v>1193</v>
      </c>
      <c r="BG4" t="s">
        <v>1193</v>
      </c>
      <c r="BH4" t="s">
        <v>1193</v>
      </c>
      <c r="BI4" t="s">
        <v>1193</v>
      </c>
      <c r="BJ4" t="s">
        <v>1194</v>
      </c>
      <c r="BK4" t="s">
        <v>1194</v>
      </c>
      <c r="BL4" t="s">
        <v>1194</v>
      </c>
      <c r="BM4" t="s">
        <v>1194</v>
      </c>
      <c r="BN4" t="s">
        <v>1194</v>
      </c>
      <c r="BO4" t="s">
        <v>1194</v>
      </c>
      <c r="BP4" t="s">
        <v>1194</v>
      </c>
      <c r="BQ4" t="s">
        <v>1194</v>
      </c>
      <c r="BR4" t="s">
        <v>1194</v>
      </c>
      <c r="BS4" t="s">
        <v>1194</v>
      </c>
      <c r="BT4" t="s">
        <v>1195</v>
      </c>
      <c r="BU4" t="s">
        <v>1195</v>
      </c>
      <c r="BV4" t="s">
        <v>1195</v>
      </c>
      <c r="BW4" t="s">
        <v>1195</v>
      </c>
      <c r="BX4" t="s">
        <v>1195</v>
      </c>
      <c r="BY4" t="s">
        <v>1195</v>
      </c>
      <c r="BZ4" t="s">
        <v>1195</v>
      </c>
      <c r="CA4" t="s">
        <v>1195</v>
      </c>
      <c r="CB4" t="s">
        <v>1195</v>
      </c>
      <c r="CC4" t="s">
        <v>1195</v>
      </c>
      <c r="CD4" t="s">
        <v>1196</v>
      </c>
      <c r="CE4" t="s">
        <v>1196</v>
      </c>
      <c r="CF4" t="s">
        <v>1196</v>
      </c>
      <c r="CG4" t="s">
        <v>1196</v>
      </c>
      <c r="CH4" t="s">
        <v>1196</v>
      </c>
      <c r="CI4" t="s">
        <v>1196</v>
      </c>
      <c r="CJ4" t="s">
        <v>1196</v>
      </c>
      <c r="CK4" t="s">
        <v>1196</v>
      </c>
      <c r="CL4" t="s">
        <v>1196</v>
      </c>
      <c r="CM4" t="s">
        <v>1196</v>
      </c>
      <c r="CN4" t="s">
        <v>1197</v>
      </c>
      <c r="CO4" t="s">
        <v>1197</v>
      </c>
      <c r="CP4" t="s">
        <v>1197</v>
      </c>
      <c r="CQ4" t="s">
        <v>1197</v>
      </c>
      <c r="CR4" t="s">
        <v>1197</v>
      </c>
      <c r="CS4" t="s">
        <v>1197</v>
      </c>
      <c r="CT4" t="s">
        <v>1197</v>
      </c>
      <c r="CU4" t="s">
        <v>1197</v>
      </c>
      <c r="CV4" t="s">
        <v>1197</v>
      </c>
      <c r="CW4" t="s">
        <v>1197</v>
      </c>
      <c r="CX4" t="s">
        <v>1198</v>
      </c>
      <c r="CY4" t="s">
        <v>1198</v>
      </c>
      <c r="CZ4" t="s">
        <v>1198</v>
      </c>
      <c r="DA4" t="s">
        <v>1198</v>
      </c>
      <c r="DB4" t="s">
        <v>1198</v>
      </c>
      <c r="DC4" t="s">
        <v>1198</v>
      </c>
      <c r="DD4" t="s">
        <v>1198</v>
      </c>
      <c r="DE4" t="s">
        <v>1198</v>
      </c>
      <c r="DF4" t="s">
        <v>1198</v>
      </c>
      <c r="DG4" t="s">
        <v>1198</v>
      </c>
      <c r="DH4" t="s">
        <v>1199</v>
      </c>
      <c r="DI4" t="s">
        <v>1199</v>
      </c>
      <c r="DJ4" t="s">
        <v>1199</v>
      </c>
      <c r="DK4" t="s">
        <v>1199</v>
      </c>
      <c r="DL4" t="s">
        <v>1199</v>
      </c>
      <c r="DM4" t="s">
        <v>1199</v>
      </c>
      <c r="DN4" t="s">
        <v>1199</v>
      </c>
      <c r="DO4" t="s">
        <v>1199</v>
      </c>
      <c r="DP4" t="s">
        <v>1199</v>
      </c>
      <c r="DQ4" t="s">
        <v>1199</v>
      </c>
      <c r="DR4" t="s">
        <v>1200</v>
      </c>
      <c r="DS4" t="s">
        <v>1200</v>
      </c>
      <c r="DT4" t="s">
        <v>1200</v>
      </c>
      <c r="DU4" t="s">
        <v>1200</v>
      </c>
      <c r="DV4" t="s">
        <v>1200</v>
      </c>
      <c r="DW4" t="s">
        <v>1200</v>
      </c>
      <c r="DX4" t="s">
        <v>1200</v>
      </c>
      <c r="DY4" t="s">
        <v>1200</v>
      </c>
      <c r="DZ4" t="s">
        <v>1200</v>
      </c>
      <c r="EA4" t="s">
        <v>1200</v>
      </c>
      <c r="EB4" t="s">
        <v>1201</v>
      </c>
      <c r="EC4" t="s">
        <v>1201</v>
      </c>
      <c r="ED4" t="s">
        <v>1201</v>
      </c>
      <c r="EE4" t="s">
        <v>1201</v>
      </c>
      <c r="EF4" t="s">
        <v>1201</v>
      </c>
      <c r="EG4" t="s">
        <v>1201</v>
      </c>
      <c r="EH4" t="s">
        <v>1201</v>
      </c>
      <c r="EI4" t="s">
        <v>1201</v>
      </c>
      <c r="EJ4" t="s">
        <v>1201</v>
      </c>
      <c r="EK4" t="s">
        <v>1201</v>
      </c>
      <c r="EL4" t="s">
        <v>1202</v>
      </c>
      <c r="EM4" t="s">
        <v>1202</v>
      </c>
      <c r="EN4" t="s">
        <v>1202</v>
      </c>
      <c r="EO4" t="s">
        <v>1202</v>
      </c>
      <c r="EP4" t="s">
        <v>1202</v>
      </c>
      <c r="EQ4" t="s">
        <v>1202</v>
      </c>
      <c r="ER4" t="s">
        <v>1202</v>
      </c>
      <c r="ES4" t="s">
        <v>1202</v>
      </c>
      <c r="ET4" t="s">
        <v>1202</v>
      </c>
      <c r="EU4" t="s">
        <v>1202</v>
      </c>
      <c r="EV4" t="s">
        <v>1203</v>
      </c>
      <c r="EW4" t="s">
        <v>1203</v>
      </c>
      <c r="EX4" t="s">
        <v>1203</v>
      </c>
      <c r="EY4" t="s">
        <v>1203</v>
      </c>
      <c r="EZ4" t="s">
        <v>1203</v>
      </c>
      <c r="FA4" t="s">
        <v>1203</v>
      </c>
      <c r="FB4" t="s">
        <v>1203</v>
      </c>
      <c r="FC4" t="s">
        <v>1203</v>
      </c>
      <c r="FD4" t="s">
        <v>1203</v>
      </c>
      <c r="FE4" t="s">
        <v>1203</v>
      </c>
      <c r="FF4" t="s">
        <v>1204</v>
      </c>
      <c r="FG4" t="s">
        <v>1204</v>
      </c>
      <c r="FH4" t="s">
        <v>1204</v>
      </c>
      <c r="FI4" t="s">
        <v>1204</v>
      </c>
      <c r="FJ4" t="s">
        <v>1204</v>
      </c>
      <c r="FK4" t="s">
        <v>1204</v>
      </c>
      <c r="FL4" t="s">
        <v>1204</v>
      </c>
      <c r="FM4" t="s">
        <v>1204</v>
      </c>
      <c r="FN4" t="s">
        <v>1204</v>
      </c>
      <c r="FO4" t="s">
        <v>1204</v>
      </c>
      <c r="FP4" t="s">
        <v>1205</v>
      </c>
      <c r="FQ4" t="s">
        <v>1205</v>
      </c>
      <c r="FR4" t="s">
        <v>1205</v>
      </c>
      <c r="FS4" t="s">
        <v>1205</v>
      </c>
      <c r="FT4" t="s">
        <v>1205</v>
      </c>
      <c r="FU4" t="s">
        <v>1205</v>
      </c>
      <c r="FV4" t="s">
        <v>1205</v>
      </c>
      <c r="FW4" t="s">
        <v>1205</v>
      </c>
      <c r="FX4" t="s">
        <v>1205</v>
      </c>
      <c r="FY4" t="s">
        <v>1205</v>
      </c>
      <c r="FZ4" t="s">
        <v>1206</v>
      </c>
      <c r="GA4" t="s">
        <v>1206</v>
      </c>
      <c r="GB4" t="s">
        <v>1206</v>
      </c>
      <c r="GC4" t="s">
        <v>1206</v>
      </c>
      <c r="GD4" t="s">
        <v>1206</v>
      </c>
      <c r="GE4" t="s">
        <v>1206</v>
      </c>
      <c r="GF4" t="s">
        <v>1206</v>
      </c>
      <c r="GG4" t="s">
        <v>1206</v>
      </c>
      <c r="GH4" t="s">
        <v>1206</v>
      </c>
      <c r="GI4" t="s">
        <v>1206</v>
      </c>
      <c r="GJ4" t="s">
        <v>1207</v>
      </c>
      <c r="GK4" t="s">
        <v>1207</v>
      </c>
      <c r="GL4" t="s">
        <v>1207</v>
      </c>
      <c r="GM4" t="s">
        <v>1207</v>
      </c>
      <c r="GN4" t="s">
        <v>1207</v>
      </c>
      <c r="GO4" t="s">
        <v>1207</v>
      </c>
      <c r="GP4" t="s">
        <v>1207</v>
      </c>
      <c r="GQ4" t="s">
        <v>1207</v>
      </c>
      <c r="GR4" t="s">
        <v>1207</v>
      </c>
      <c r="GS4" t="s">
        <v>1207</v>
      </c>
      <c r="GT4" t="s">
        <v>1208</v>
      </c>
      <c r="GU4" t="s">
        <v>1208</v>
      </c>
      <c r="GV4" t="s">
        <v>1208</v>
      </c>
      <c r="GW4" t="s">
        <v>1208</v>
      </c>
      <c r="GX4" t="s">
        <v>1208</v>
      </c>
      <c r="GY4" t="s">
        <v>1208</v>
      </c>
      <c r="GZ4" t="s">
        <v>1208</v>
      </c>
      <c r="HA4" t="s">
        <v>1208</v>
      </c>
      <c r="HB4" t="s">
        <v>1208</v>
      </c>
      <c r="HC4" t="s">
        <v>1208</v>
      </c>
      <c r="HD4" t="s">
        <v>1209</v>
      </c>
      <c r="HE4" t="s">
        <v>1209</v>
      </c>
      <c r="HF4" t="s">
        <v>1209</v>
      </c>
      <c r="HG4" t="s">
        <v>1209</v>
      </c>
      <c r="HH4" t="s">
        <v>1209</v>
      </c>
      <c r="HI4" t="s">
        <v>1209</v>
      </c>
      <c r="HJ4" t="s">
        <v>1209</v>
      </c>
      <c r="HK4" t="s">
        <v>1209</v>
      </c>
      <c r="HL4" t="s">
        <v>1209</v>
      </c>
      <c r="HM4" t="s">
        <v>1209</v>
      </c>
      <c r="HN4" t="s">
        <v>1210</v>
      </c>
      <c r="HO4" t="s">
        <v>1210</v>
      </c>
      <c r="HP4" t="s">
        <v>1210</v>
      </c>
      <c r="HQ4" t="s">
        <v>1210</v>
      </c>
      <c r="HR4" t="s">
        <v>1210</v>
      </c>
      <c r="HS4" t="s">
        <v>1210</v>
      </c>
      <c r="HT4" t="s">
        <v>1210</v>
      </c>
      <c r="HU4" t="s">
        <v>1210</v>
      </c>
      <c r="HV4" t="s">
        <v>1210</v>
      </c>
      <c r="HW4" t="s">
        <v>1210</v>
      </c>
      <c r="HX4" t="s">
        <v>1211</v>
      </c>
      <c r="HY4" t="s">
        <v>1211</v>
      </c>
      <c r="HZ4" t="s">
        <v>1211</v>
      </c>
      <c r="IA4" t="s">
        <v>1211</v>
      </c>
      <c r="IB4" t="s">
        <v>1211</v>
      </c>
      <c r="IC4" t="s">
        <v>1211</v>
      </c>
      <c r="ID4" t="s">
        <v>1211</v>
      </c>
      <c r="IE4" t="s">
        <v>1211</v>
      </c>
      <c r="IF4" t="s">
        <v>1211</v>
      </c>
      <c r="IG4" t="s">
        <v>1211</v>
      </c>
      <c r="IH4" t="s">
        <v>1212</v>
      </c>
      <c r="II4" t="s">
        <v>1212</v>
      </c>
      <c r="IJ4" t="s">
        <v>1212</v>
      </c>
      <c r="IK4" t="s">
        <v>1212</v>
      </c>
      <c r="IL4" t="s">
        <v>1212</v>
      </c>
      <c r="IM4" t="s">
        <v>1212</v>
      </c>
      <c r="IN4" t="s">
        <v>1212</v>
      </c>
      <c r="IO4" t="s">
        <v>1212</v>
      </c>
      <c r="IP4" t="s">
        <v>1212</v>
      </c>
      <c r="IQ4" t="s">
        <v>1212</v>
      </c>
      <c r="IR4" t="s">
        <v>1213</v>
      </c>
      <c r="IS4" t="s">
        <v>1213</v>
      </c>
      <c r="IT4" t="s">
        <v>1213</v>
      </c>
      <c r="IU4" t="s">
        <v>1213</v>
      </c>
      <c r="IV4" t="s">
        <v>1213</v>
      </c>
      <c r="IW4" t="s">
        <v>1213</v>
      </c>
      <c r="IX4" t="s">
        <v>1213</v>
      </c>
      <c r="IY4" t="s">
        <v>1213</v>
      </c>
      <c r="IZ4" t="s">
        <v>1213</v>
      </c>
      <c r="JA4" t="s">
        <v>1213</v>
      </c>
      <c r="JB4" t="s">
        <v>1214</v>
      </c>
      <c r="JC4" t="s">
        <v>1214</v>
      </c>
      <c r="JD4" t="s">
        <v>1214</v>
      </c>
      <c r="JE4" t="s">
        <v>1214</v>
      </c>
      <c r="JF4" t="s">
        <v>1214</v>
      </c>
      <c r="JG4" t="s">
        <v>1214</v>
      </c>
      <c r="JH4" t="s">
        <v>1214</v>
      </c>
      <c r="JI4" t="s">
        <v>1214</v>
      </c>
      <c r="JJ4" t="s">
        <v>1214</v>
      </c>
      <c r="JK4" t="s">
        <v>1214</v>
      </c>
      <c r="JL4" t="s">
        <v>1215</v>
      </c>
      <c r="JM4" t="s">
        <v>1215</v>
      </c>
      <c r="JN4" t="s">
        <v>1215</v>
      </c>
      <c r="JO4" t="s">
        <v>1215</v>
      </c>
      <c r="JP4" t="s">
        <v>1215</v>
      </c>
      <c r="JQ4" t="s">
        <v>1215</v>
      </c>
      <c r="JR4" t="s">
        <v>1215</v>
      </c>
      <c r="JS4" t="s">
        <v>1215</v>
      </c>
      <c r="JT4" t="s">
        <v>1215</v>
      </c>
      <c r="JU4" t="s">
        <v>1215</v>
      </c>
      <c r="JV4" t="s">
        <v>1216</v>
      </c>
      <c r="JW4" t="s">
        <v>1216</v>
      </c>
      <c r="JX4" t="s">
        <v>1216</v>
      </c>
      <c r="JY4" t="s">
        <v>1216</v>
      </c>
      <c r="JZ4" t="s">
        <v>1216</v>
      </c>
      <c r="KA4" t="s">
        <v>1216</v>
      </c>
      <c r="KB4" t="s">
        <v>1216</v>
      </c>
      <c r="KC4" t="s">
        <v>1216</v>
      </c>
      <c r="KD4" t="s">
        <v>1216</v>
      </c>
      <c r="KE4" t="s">
        <v>1216</v>
      </c>
      <c r="KF4" t="s">
        <v>1217</v>
      </c>
      <c r="KG4" t="s">
        <v>1217</v>
      </c>
      <c r="KH4" t="s">
        <v>1217</v>
      </c>
      <c r="KI4" t="s">
        <v>1217</v>
      </c>
      <c r="KJ4" t="s">
        <v>1217</v>
      </c>
      <c r="KK4" t="s">
        <v>1217</v>
      </c>
      <c r="KL4" t="s">
        <v>1217</v>
      </c>
      <c r="KM4" t="s">
        <v>1217</v>
      </c>
      <c r="KN4" t="s">
        <v>1217</v>
      </c>
      <c r="KO4" t="s">
        <v>1217</v>
      </c>
      <c r="KP4" t="s">
        <v>1218</v>
      </c>
      <c r="KQ4" t="s">
        <v>1218</v>
      </c>
      <c r="KR4" t="s">
        <v>1218</v>
      </c>
      <c r="KS4" t="s">
        <v>1218</v>
      </c>
      <c r="KT4" t="s">
        <v>1218</v>
      </c>
      <c r="KU4" t="s">
        <v>1218</v>
      </c>
      <c r="KV4" t="s">
        <v>1218</v>
      </c>
      <c r="KW4" t="s">
        <v>1218</v>
      </c>
      <c r="KX4" t="s">
        <v>1218</v>
      </c>
      <c r="KY4" t="s">
        <v>1218</v>
      </c>
      <c r="KZ4" t="s">
        <v>1219</v>
      </c>
      <c r="LA4" t="s">
        <v>1219</v>
      </c>
      <c r="LB4" t="s">
        <v>1219</v>
      </c>
      <c r="LC4" t="s">
        <v>1219</v>
      </c>
      <c r="LD4" t="s">
        <v>1219</v>
      </c>
      <c r="LE4" t="s">
        <v>1219</v>
      </c>
      <c r="LF4" t="s">
        <v>1219</v>
      </c>
      <c r="LG4" t="s">
        <v>1219</v>
      </c>
      <c r="LH4" t="s">
        <v>1219</v>
      </c>
      <c r="LI4" t="s">
        <v>1219</v>
      </c>
      <c r="LJ4" t="s">
        <v>1220</v>
      </c>
      <c r="LK4" t="s">
        <v>1220</v>
      </c>
      <c r="LL4" t="s">
        <v>1220</v>
      </c>
      <c r="LM4" t="s">
        <v>1220</v>
      </c>
      <c r="LN4" t="s">
        <v>1220</v>
      </c>
      <c r="LO4" t="s">
        <v>1220</v>
      </c>
      <c r="LP4" t="s">
        <v>1220</v>
      </c>
      <c r="LQ4" t="s">
        <v>1220</v>
      </c>
      <c r="LR4" t="s">
        <v>1220</v>
      </c>
      <c r="LS4" t="s">
        <v>1220</v>
      </c>
      <c r="LT4" t="s">
        <v>1221</v>
      </c>
      <c r="LU4" t="s">
        <v>1221</v>
      </c>
      <c r="LV4" t="s">
        <v>1221</v>
      </c>
      <c r="LW4" t="s">
        <v>1221</v>
      </c>
      <c r="LX4" t="s">
        <v>1221</v>
      </c>
      <c r="LY4" t="s">
        <v>1221</v>
      </c>
      <c r="LZ4" t="s">
        <v>1221</v>
      </c>
      <c r="MA4" t="s">
        <v>1221</v>
      </c>
      <c r="MB4" t="s">
        <v>1221</v>
      </c>
      <c r="MC4" t="s">
        <v>1221</v>
      </c>
      <c r="MD4" t="s">
        <v>1222</v>
      </c>
      <c r="ME4" t="s">
        <v>1222</v>
      </c>
      <c r="MF4" t="s">
        <v>1222</v>
      </c>
      <c r="MG4" t="s">
        <v>1222</v>
      </c>
      <c r="MH4" t="s">
        <v>1222</v>
      </c>
      <c r="MI4" t="s">
        <v>1222</v>
      </c>
      <c r="MJ4" t="s">
        <v>1222</v>
      </c>
      <c r="MK4" t="s">
        <v>1222</v>
      </c>
      <c r="ML4" t="s">
        <v>1222</v>
      </c>
      <c r="MM4" t="s">
        <v>1222</v>
      </c>
      <c r="MN4" t="s">
        <v>1223</v>
      </c>
      <c r="MO4" t="s">
        <v>1223</v>
      </c>
      <c r="MP4" t="s">
        <v>1223</v>
      </c>
      <c r="MQ4" t="s">
        <v>1223</v>
      </c>
      <c r="MR4" t="s">
        <v>1223</v>
      </c>
      <c r="MS4" t="s">
        <v>1223</v>
      </c>
      <c r="MT4" t="s">
        <v>1223</v>
      </c>
      <c r="MU4" t="s">
        <v>1223</v>
      </c>
      <c r="MV4" t="s">
        <v>1223</v>
      </c>
      <c r="MW4" t="s">
        <v>1223</v>
      </c>
      <c r="MX4" t="s">
        <v>1224</v>
      </c>
      <c r="MY4" t="s">
        <v>1224</v>
      </c>
      <c r="MZ4" t="s">
        <v>1224</v>
      </c>
      <c r="NA4" t="s">
        <v>1224</v>
      </c>
      <c r="NB4" t="s">
        <v>1224</v>
      </c>
      <c r="NC4" t="s">
        <v>1224</v>
      </c>
      <c r="ND4" t="s">
        <v>1224</v>
      </c>
      <c r="NE4" t="s">
        <v>1224</v>
      </c>
      <c r="NF4" t="s">
        <v>1224</v>
      </c>
      <c r="NG4" t="s">
        <v>1224</v>
      </c>
      <c r="NH4" t="s">
        <v>1225</v>
      </c>
      <c r="NI4" t="s">
        <v>1225</v>
      </c>
      <c r="NJ4" t="s">
        <v>1225</v>
      </c>
      <c r="NK4" t="s">
        <v>1225</v>
      </c>
      <c r="NL4" t="s">
        <v>1225</v>
      </c>
      <c r="NM4" t="s">
        <v>1225</v>
      </c>
      <c r="NN4" t="s">
        <v>1225</v>
      </c>
      <c r="NO4" t="s">
        <v>1225</v>
      </c>
      <c r="NP4" t="s">
        <v>1225</v>
      </c>
      <c r="NQ4" t="s">
        <v>1225</v>
      </c>
      <c r="NR4" t="s">
        <v>1226</v>
      </c>
      <c r="NS4" t="s">
        <v>1226</v>
      </c>
      <c r="NT4" t="s">
        <v>1226</v>
      </c>
      <c r="NU4" t="s">
        <v>1226</v>
      </c>
      <c r="NV4" t="s">
        <v>1226</v>
      </c>
      <c r="NW4" t="s">
        <v>1226</v>
      </c>
      <c r="NX4" t="s">
        <v>1226</v>
      </c>
      <c r="NY4" t="s">
        <v>1226</v>
      </c>
      <c r="NZ4" t="s">
        <v>1226</v>
      </c>
      <c r="OA4" t="s">
        <v>1226</v>
      </c>
      <c r="OB4" t="s">
        <v>1227</v>
      </c>
      <c r="OC4" t="s">
        <v>1227</v>
      </c>
      <c r="OD4" t="s">
        <v>1227</v>
      </c>
      <c r="OE4" t="s">
        <v>1227</v>
      </c>
      <c r="OF4" t="s">
        <v>1227</v>
      </c>
      <c r="OG4" t="s">
        <v>1227</v>
      </c>
      <c r="OH4" t="s">
        <v>1227</v>
      </c>
      <c r="OI4" t="s">
        <v>1227</v>
      </c>
      <c r="OJ4" t="s">
        <v>1227</v>
      </c>
      <c r="OK4" t="s">
        <v>1227</v>
      </c>
      <c r="OL4" t="s">
        <v>1228</v>
      </c>
      <c r="OM4" t="s">
        <v>1228</v>
      </c>
      <c r="ON4" t="s">
        <v>1228</v>
      </c>
      <c r="OO4" t="s">
        <v>1228</v>
      </c>
      <c r="OP4" t="s">
        <v>1228</v>
      </c>
      <c r="OQ4" t="s">
        <v>1228</v>
      </c>
      <c r="OR4" t="s">
        <v>1228</v>
      </c>
      <c r="OS4" t="s">
        <v>1228</v>
      </c>
      <c r="OT4" t="s">
        <v>1228</v>
      </c>
      <c r="OU4" t="s">
        <v>1228</v>
      </c>
      <c r="OV4" t="s">
        <v>1229</v>
      </c>
      <c r="OW4" t="s">
        <v>1229</v>
      </c>
      <c r="OX4" t="s">
        <v>1229</v>
      </c>
      <c r="OY4" t="s">
        <v>1229</v>
      </c>
      <c r="OZ4" t="s">
        <v>1229</v>
      </c>
      <c r="PA4" t="s">
        <v>1229</v>
      </c>
      <c r="PB4" t="s">
        <v>1229</v>
      </c>
      <c r="PC4" t="s">
        <v>1229</v>
      </c>
      <c r="PD4" t="s">
        <v>1229</v>
      </c>
      <c r="PE4" t="s">
        <v>1229</v>
      </c>
      <c r="PF4" t="s">
        <v>1230</v>
      </c>
      <c r="PG4" t="s">
        <v>1230</v>
      </c>
      <c r="PH4" t="s">
        <v>1230</v>
      </c>
      <c r="PI4" t="s">
        <v>1230</v>
      </c>
      <c r="PJ4" t="s">
        <v>1230</v>
      </c>
      <c r="PK4" t="s">
        <v>1230</v>
      </c>
      <c r="PL4" t="s">
        <v>1230</v>
      </c>
      <c r="PM4" t="s">
        <v>1230</v>
      </c>
      <c r="PN4" t="s">
        <v>1230</v>
      </c>
      <c r="PO4" t="s">
        <v>1230</v>
      </c>
      <c r="PP4" t="s">
        <v>1231</v>
      </c>
      <c r="PQ4" t="s">
        <v>1231</v>
      </c>
      <c r="PR4" t="s">
        <v>1231</v>
      </c>
      <c r="PS4" t="s">
        <v>1231</v>
      </c>
      <c r="PT4" t="s">
        <v>1231</v>
      </c>
      <c r="PU4" t="s">
        <v>1231</v>
      </c>
      <c r="PV4" t="s">
        <v>1231</v>
      </c>
      <c r="PW4" t="s">
        <v>1231</v>
      </c>
      <c r="PX4" t="s">
        <v>1231</v>
      </c>
      <c r="PY4" t="s">
        <v>1231</v>
      </c>
      <c r="PZ4" t="s">
        <v>1232</v>
      </c>
      <c r="QA4" t="s">
        <v>1232</v>
      </c>
      <c r="QB4" t="s">
        <v>1232</v>
      </c>
      <c r="QC4" t="s">
        <v>1232</v>
      </c>
      <c r="QD4" t="s">
        <v>1232</v>
      </c>
      <c r="QE4" t="s">
        <v>1232</v>
      </c>
      <c r="QF4" t="s">
        <v>1232</v>
      </c>
      <c r="QG4" t="s">
        <v>1232</v>
      </c>
      <c r="QH4" t="s">
        <v>1232</v>
      </c>
      <c r="QI4" t="s">
        <v>1232</v>
      </c>
      <c r="QJ4" t="s">
        <v>1233</v>
      </c>
      <c r="QK4" t="s">
        <v>1233</v>
      </c>
      <c r="QL4" t="s">
        <v>1233</v>
      </c>
      <c r="QM4" t="s">
        <v>1233</v>
      </c>
      <c r="QN4" t="s">
        <v>1233</v>
      </c>
      <c r="QO4" t="s">
        <v>1233</v>
      </c>
      <c r="QP4" t="s">
        <v>1233</v>
      </c>
      <c r="QQ4" t="s">
        <v>1233</v>
      </c>
      <c r="QR4" t="s">
        <v>1233</v>
      </c>
      <c r="QS4" t="s">
        <v>1233</v>
      </c>
      <c r="QT4" t="s">
        <v>1234</v>
      </c>
      <c r="QU4" t="s">
        <v>1234</v>
      </c>
      <c r="QV4" t="s">
        <v>1234</v>
      </c>
      <c r="QW4" t="s">
        <v>1234</v>
      </c>
      <c r="QX4" t="s">
        <v>1234</v>
      </c>
      <c r="QY4" t="s">
        <v>1234</v>
      </c>
      <c r="QZ4" t="s">
        <v>1234</v>
      </c>
      <c r="RA4" t="s">
        <v>1234</v>
      </c>
      <c r="RB4" t="s">
        <v>1234</v>
      </c>
      <c r="RC4" t="s">
        <v>1234</v>
      </c>
      <c r="RD4" t="s">
        <v>1235</v>
      </c>
      <c r="RE4" t="s">
        <v>1235</v>
      </c>
      <c r="RF4" t="s">
        <v>1235</v>
      </c>
      <c r="RG4" t="s">
        <v>1235</v>
      </c>
      <c r="RH4" t="s">
        <v>1235</v>
      </c>
      <c r="RI4" t="s">
        <v>1235</v>
      </c>
      <c r="RJ4" t="s">
        <v>1235</v>
      </c>
      <c r="RK4" t="s">
        <v>1235</v>
      </c>
      <c r="RL4" t="s">
        <v>1235</v>
      </c>
      <c r="RM4" t="s">
        <v>1235</v>
      </c>
      <c r="RN4" t="s">
        <v>1236</v>
      </c>
      <c r="RO4" t="s">
        <v>1236</v>
      </c>
      <c r="RP4" t="s">
        <v>1236</v>
      </c>
      <c r="RQ4" t="s">
        <v>1236</v>
      </c>
      <c r="RR4" t="s">
        <v>1236</v>
      </c>
      <c r="RS4" t="s">
        <v>1236</v>
      </c>
      <c r="RT4" t="s">
        <v>1236</v>
      </c>
      <c r="RU4" t="s">
        <v>1236</v>
      </c>
      <c r="RV4" t="s">
        <v>1236</v>
      </c>
      <c r="RW4" t="s">
        <v>1236</v>
      </c>
      <c r="RX4" t="s">
        <v>1237</v>
      </c>
      <c r="RY4" t="s">
        <v>1237</v>
      </c>
      <c r="RZ4" t="s">
        <v>1237</v>
      </c>
      <c r="SA4" t="s">
        <v>1237</v>
      </c>
      <c r="SB4" t="s">
        <v>1237</v>
      </c>
      <c r="SC4" t="s">
        <v>1237</v>
      </c>
      <c r="SD4" t="s">
        <v>1237</v>
      </c>
      <c r="SE4" t="s">
        <v>1237</v>
      </c>
      <c r="SF4" t="s">
        <v>1237</v>
      </c>
      <c r="SG4" t="s">
        <v>1237</v>
      </c>
      <c r="SH4" t="s">
        <v>1238</v>
      </c>
      <c r="SI4" t="s">
        <v>1238</v>
      </c>
      <c r="SJ4" t="s">
        <v>1238</v>
      </c>
      <c r="SK4" t="s">
        <v>1238</v>
      </c>
      <c r="SL4" t="s">
        <v>1238</v>
      </c>
      <c r="SM4" t="s">
        <v>1238</v>
      </c>
      <c r="SN4" t="s">
        <v>1238</v>
      </c>
      <c r="SO4" t="s">
        <v>1238</v>
      </c>
      <c r="SP4" t="s">
        <v>1238</v>
      </c>
      <c r="SQ4" t="s">
        <v>1238</v>
      </c>
      <c r="SR4" t="s">
        <v>1239</v>
      </c>
      <c r="SS4" t="s">
        <v>1239</v>
      </c>
      <c r="ST4" t="s">
        <v>1239</v>
      </c>
      <c r="SU4" t="s">
        <v>1239</v>
      </c>
      <c r="SV4" t="s">
        <v>1239</v>
      </c>
      <c r="SW4" t="s">
        <v>1239</v>
      </c>
      <c r="SX4" t="s">
        <v>1239</v>
      </c>
      <c r="SY4" t="s">
        <v>1239</v>
      </c>
      <c r="SZ4" t="s">
        <v>1239</v>
      </c>
      <c r="TA4" t="s">
        <v>1239</v>
      </c>
      <c r="TB4" t="s">
        <v>1240</v>
      </c>
      <c r="TC4" t="s">
        <v>1240</v>
      </c>
      <c r="TD4" t="s">
        <v>1240</v>
      </c>
      <c r="TE4" t="s">
        <v>1240</v>
      </c>
      <c r="TF4" t="s">
        <v>1240</v>
      </c>
      <c r="TG4" t="s">
        <v>1240</v>
      </c>
      <c r="TH4" t="s">
        <v>1240</v>
      </c>
      <c r="TI4" t="s">
        <v>1240</v>
      </c>
      <c r="TJ4" t="s">
        <v>1240</v>
      </c>
      <c r="TK4" t="s">
        <v>1240</v>
      </c>
      <c r="TL4" t="s">
        <v>1241</v>
      </c>
      <c r="TM4" t="s">
        <v>1241</v>
      </c>
      <c r="TN4" t="s">
        <v>1241</v>
      </c>
      <c r="TO4" t="s">
        <v>1241</v>
      </c>
      <c r="TP4" t="s">
        <v>1241</v>
      </c>
      <c r="TQ4" t="s">
        <v>1241</v>
      </c>
      <c r="TR4" t="s">
        <v>1241</v>
      </c>
      <c r="TS4" t="s">
        <v>1241</v>
      </c>
      <c r="TT4" t="s">
        <v>1241</v>
      </c>
      <c r="TU4" t="s">
        <v>1241</v>
      </c>
      <c r="TV4" t="s">
        <v>1242</v>
      </c>
      <c r="TW4" t="s">
        <v>1242</v>
      </c>
      <c r="TX4" t="s">
        <v>1242</v>
      </c>
      <c r="TY4" t="s">
        <v>1242</v>
      </c>
      <c r="TZ4" t="s">
        <v>1242</v>
      </c>
      <c r="UA4" t="s">
        <v>1242</v>
      </c>
      <c r="UB4" t="s">
        <v>1242</v>
      </c>
      <c r="UC4" t="s">
        <v>1242</v>
      </c>
      <c r="UD4" t="s">
        <v>1242</v>
      </c>
      <c r="UE4" t="s">
        <v>1242</v>
      </c>
      <c r="UF4" t="s">
        <v>1243</v>
      </c>
      <c r="UG4" t="s">
        <v>1243</v>
      </c>
      <c r="UH4" t="s">
        <v>1243</v>
      </c>
      <c r="UI4" t="s">
        <v>1243</v>
      </c>
      <c r="UJ4" t="s">
        <v>1243</v>
      </c>
      <c r="UK4" t="s">
        <v>1243</v>
      </c>
      <c r="UL4" t="s">
        <v>1243</v>
      </c>
      <c r="UM4" t="s">
        <v>1243</v>
      </c>
      <c r="UN4" t="s">
        <v>1243</v>
      </c>
      <c r="UO4" t="s">
        <v>1243</v>
      </c>
      <c r="UP4" t="s">
        <v>1244</v>
      </c>
      <c r="UQ4" t="s">
        <v>1244</v>
      </c>
      <c r="UR4" t="s">
        <v>1244</v>
      </c>
      <c r="US4" t="s">
        <v>1244</v>
      </c>
      <c r="UT4" t="s">
        <v>1244</v>
      </c>
      <c r="UU4" t="s">
        <v>1244</v>
      </c>
      <c r="UV4" t="s">
        <v>1244</v>
      </c>
      <c r="UW4" t="s">
        <v>1244</v>
      </c>
      <c r="UX4" t="s">
        <v>1244</v>
      </c>
      <c r="UY4" t="s">
        <v>1244</v>
      </c>
      <c r="UZ4" t="s">
        <v>1245</v>
      </c>
      <c r="VA4" t="s">
        <v>1245</v>
      </c>
      <c r="VB4" t="s">
        <v>1245</v>
      </c>
      <c r="VC4" t="s">
        <v>1245</v>
      </c>
      <c r="VD4" t="s">
        <v>1245</v>
      </c>
      <c r="VE4" t="s">
        <v>1245</v>
      </c>
      <c r="VF4" t="s">
        <v>1245</v>
      </c>
      <c r="VG4" t="s">
        <v>1245</v>
      </c>
      <c r="VH4" t="s">
        <v>1245</v>
      </c>
      <c r="VI4" t="s">
        <v>1245</v>
      </c>
      <c r="VJ4" t="s">
        <v>1246</v>
      </c>
      <c r="VK4" t="s">
        <v>1246</v>
      </c>
      <c r="VL4" t="s">
        <v>1246</v>
      </c>
      <c r="VM4" t="s">
        <v>1246</v>
      </c>
      <c r="VN4" t="s">
        <v>1246</v>
      </c>
      <c r="VO4" t="s">
        <v>1246</v>
      </c>
      <c r="VP4" t="s">
        <v>1246</v>
      </c>
      <c r="VQ4" t="s">
        <v>1246</v>
      </c>
      <c r="VR4" t="s">
        <v>1246</v>
      </c>
      <c r="VS4" t="s">
        <v>1246</v>
      </c>
      <c r="VT4" t="s">
        <v>1247</v>
      </c>
      <c r="VU4" t="s">
        <v>1247</v>
      </c>
      <c r="VV4" t="s">
        <v>1247</v>
      </c>
      <c r="VW4" t="s">
        <v>1247</v>
      </c>
      <c r="VX4" t="s">
        <v>1247</v>
      </c>
      <c r="VY4" t="s">
        <v>1247</v>
      </c>
      <c r="VZ4" t="s">
        <v>1247</v>
      </c>
      <c r="WA4" t="s">
        <v>1247</v>
      </c>
      <c r="WB4" t="s">
        <v>1247</v>
      </c>
      <c r="WC4" t="s">
        <v>1247</v>
      </c>
      <c r="WD4" t="s">
        <v>1248</v>
      </c>
      <c r="WE4" t="s">
        <v>1248</v>
      </c>
      <c r="WF4" t="s">
        <v>1248</v>
      </c>
      <c r="WG4" t="s">
        <v>1248</v>
      </c>
      <c r="WH4" t="s">
        <v>1248</v>
      </c>
      <c r="WI4" t="s">
        <v>1248</v>
      </c>
      <c r="WJ4" t="s">
        <v>1248</v>
      </c>
      <c r="WK4" t="s">
        <v>1248</v>
      </c>
      <c r="WL4" t="s">
        <v>1248</v>
      </c>
      <c r="WM4" t="s">
        <v>1248</v>
      </c>
      <c r="WN4" t="s">
        <v>1249</v>
      </c>
      <c r="WO4" t="s">
        <v>1249</v>
      </c>
      <c r="WP4" t="s">
        <v>1249</v>
      </c>
      <c r="WQ4" t="s">
        <v>1249</v>
      </c>
      <c r="WR4" t="s">
        <v>1249</v>
      </c>
      <c r="WS4" t="s">
        <v>1249</v>
      </c>
      <c r="WT4" t="s">
        <v>1249</v>
      </c>
      <c r="WU4" t="s">
        <v>1249</v>
      </c>
      <c r="WV4" t="s">
        <v>1249</v>
      </c>
      <c r="WW4" t="s">
        <v>1249</v>
      </c>
      <c r="WX4" t="s">
        <v>1250</v>
      </c>
      <c r="WY4" t="s">
        <v>1250</v>
      </c>
      <c r="WZ4" t="s">
        <v>1250</v>
      </c>
      <c r="XA4" t="s">
        <v>1250</v>
      </c>
      <c r="XB4" t="s">
        <v>1250</v>
      </c>
      <c r="XC4" t="s">
        <v>1250</v>
      </c>
      <c r="XD4" t="s">
        <v>1250</v>
      </c>
      <c r="XE4" t="s">
        <v>1250</v>
      </c>
      <c r="XF4" t="s">
        <v>1250</v>
      </c>
      <c r="XG4" t="s">
        <v>1250</v>
      </c>
      <c r="XH4" t="s">
        <v>1251</v>
      </c>
      <c r="XI4" t="s">
        <v>1251</v>
      </c>
      <c r="XJ4" t="s">
        <v>1251</v>
      </c>
      <c r="XK4" t="s">
        <v>1251</v>
      </c>
      <c r="XL4" t="s">
        <v>1251</v>
      </c>
      <c r="XM4" t="s">
        <v>1251</v>
      </c>
      <c r="XN4" t="s">
        <v>1251</v>
      </c>
      <c r="XO4" t="s">
        <v>1251</v>
      </c>
      <c r="XP4" t="s">
        <v>1251</v>
      </c>
      <c r="XQ4" t="s">
        <v>1251</v>
      </c>
      <c r="XR4" t="s">
        <v>1252</v>
      </c>
      <c r="XS4" t="s">
        <v>1252</v>
      </c>
      <c r="XT4" t="s">
        <v>1252</v>
      </c>
      <c r="XU4" t="s">
        <v>1252</v>
      </c>
      <c r="XV4" t="s">
        <v>1252</v>
      </c>
      <c r="XW4" t="s">
        <v>1252</v>
      </c>
      <c r="XX4" t="s">
        <v>1252</v>
      </c>
      <c r="XY4" t="s">
        <v>1252</v>
      </c>
      <c r="XZ4" t="s">
        <v>1252</v>
      </c>
      <c r="YA4" t="s">
        <v>1252</v>
      </c>
      <c r="YB4" t="s">
        <v>1253</v>
      </c>
      <c r="YC4" t="s">
        <v>1253</v>
      </c>
      <c r="YD4" t="s">
        <v>1253</v>
      </c>
      <c r="YE4" t="s">
        <v>1253</v>
      </c>
      <c r="YF4" t="s">
        <v>1253</v>
      </c>
      <c r="YG4" t="s">
        <v>1253</v>
      </c>
      <c r="YH4" t="s">
        <v>1253</v>
      </c>
      <c r="YI4" t="s">
        <v>1253</v>
      </c>
      <c r="YJ4" t="s">
        <v>1253</v>
      </c>
      <c r="YK4" t="s">
        <v>1253</v>
      </c>
      <c r="YL4" t="s">
        <v>1254</v>
      </c>
      <c r="YM4" t="s">
        <v>1254</v>
      </c>
      <c r="YN4" t="s">
        <v>1254</v>
      </c>
      <c r="YO4" t="s">
        <v>1254</v>
      </c>
      <c r="YP4" t="s">
        <v>1254</v>
      </c>
      <c r="YQ4" t="s">
        <v>1254</v>
      </c>
      <c r="YR4" t="s">
        <v>1254</v>
      </c>
      <c r="YS4" t="s">
        <v>1254</v>
      </c>
      <c r="YT4" t="s">
        <v>1254</v>
      </c>
      <c r="YU4" t="s">
        <v>1254</v>
      </c>
      <c r="YV4" t="s">
        <v>1255</v>
      </c>
      <c r="YW4" t="s">
        <v>1255</v>
      </c>
      <c r="YX4" t="s">
        <v>1255</v>
      </c>
      <c r="YY4" t="s">
        <v>1255</v>
      </c>
      <c r="YZ4" t="s">
        <v>1255</v>
      </c>
      <c r="ZA4" t="s">
        <v>1255</v>
      </c>
      <c r="ZB4" t="s">
        <v>1255</v>
      </c>
      <c r="ZC4" t="s">
        <v>1255</v>
      </c>
      <c r="ZD4" t="s">
        <v>1255</v>
      </c>
      <c r="ZE4" t="s">
        <v>1255</v>
      </c>
      <c r="ZF4" t="s">
        <v>1256</v>
      </c>
      <c r="ZG4" t="s">
        <v>1256</v>
      </c>
      <c r="ZH4" t="s">
        <v>1256</v>
      </c>
      <c r="ZI4" t="s">
        <v>1256</v>
      </c>
      <c r="ZJ4" t="s">
        <v>1256</v>
      </c>
      <c r="ZK4" t="s">
        <v>1256</v>
      </c>
      <c r="ZL4" t="s">
        <v>1256</v>
      </c>
      <c r="ZM4" t="s">
        <v>1256</v>
      </c>
      <c r="ZN4" t="s">
        <v>1256</v>
      </c>
      <c r="ZO4" t="s">
        <v>1256</v>
      </c>
      <c r="ZP4" t="s">
        <v>1257</v>
      </c>
      <c r="ZQ4" t="s">
        <v>1257</v>
      </c>
      <c r="ZR4" t="s">
        <v>1257</v>
      </c>
      <c r="ZS4" t="s">
        <v>1257</v>
      </c>
      <c r="ZT4" t="s">
        <v>1257</v>
      </c>
      <c r="ZU4" t="s">
        <v>1257</v>
      </c>
      <c r="ZV4" t="s">
        <v>1257</v>
      </c>
      <c r="ZW4" t="s">
        <v>1257</v>
      </c>
      <c r="ZX4" t="s">
        <v>1257</v>
      </c>
      <c r="ZY4" t="s">
        <v>1257</v>
      </c>
      <c r="ZZ4" t="s">
        <v>1258</v>
      </c>
      <c r="AAA4" t="s">
        <v>1258</v>
      </c>
      <c r="AAB4" t="s">
        <v>1258</v>
      </c>
      <c r="AAC4" t="s">
        <v>1258</v>
      </c>
      <c r="AAD4" t="s">
        <v>1258</v>
      </c>
      <c r="AAE4" t="s">
        <v>1258</v>
      </c>
      <c r="AAF4" t="s">
        <v>1258</v>
      </c>
      <c r="AAG4" t="s">
        <v>1258</v>
      </c>
      <c r="AAH4" t="s">
        <v>1258</v>
      </c>
      <c r="AAI4" t="s">
        <v>1258</v>
      </c>
      <c r="AAJ4" t="s">
        <v>1259</v>
      </c>
      <c r="AAK4" t="s">
        <v>1259</v>
      </c>
      <c r="AAL4" t="s">
        <v>1259</v>
      </c>
      <c r="AAM4" t="s">
        <v>1259</v>
      </c>
      <c r="AAN4" t="s">
        <v>1259</v>
      </c>
      <c r="AAO4" t="s">
        <v>1259</v>
      </c>
      <c r="AAP4" t="s">
        <v>1259</v>
      </c>
      <c r="AAQ4" t="s">
        <v>1259</v>
      </c>
      <c r="AAR4" t="s">
        <v>1259</v>
      </c>
      <c r="AAS4" t="s">
        <v>1259</v>
      </c>
      <c r="AAT4" t="s">
        <v>1260</v>
      </c>
      <c r="AAU4" t="s">
        <v>1260</v>
      </c>
      <c r="AAV4" t="s">
        <v>1260</v>
      </c>
      <c r="AAW4" t="s">
        <v>1260</v>
      </c>
      <c r="AAX4" t="s">
        <v>1260</v>
      </c>
      <c r="AAY4" t="s">
        <v>1260</v>
      </c>
      <c r="AAZ4" t="s">
        <v>1260</v>
      </c>
      <c r="ABA4" t="s">
        <v>1260</v>
      </c>
      <c r="ABB4" t="s">
        <v>1260</v>
      </c>
      <c r="ABC4" t="s">
        <v>1260</v>
      </c>
      <c r="ABD4" t="s">
        <v>1261</v>
      </c>
      <c r="ABE4" t="s">
        <v>1261</v>
      </c>
      <c r="ABF4" t="s">
        <v>1261</v>
      </c>
      <c r="ABG4" t="s">
        <v>1261</v>
      </c>
      <c r="ABH4" t="s">
        <v>1261</v>
      </c>
      <c r="ABI4" t="s">
        <v>1261</v>
      </c>
      <c r="ABJ4" t="s">
        <v>1261</v>
      </c>
      <c r="ABK4" t="s">
        <v>1261</v>
      </c>
      <c r="ABL4" t="s">
        <v>1261</v>
      </c>
      <c r="ABM4" t="s">
        <v>1261</v>
      </c>
      <c r="ABN4" t="s">
        <v>1262</v>
      </c>
      <c r="ABO4" t="s">
        <v>1262</v>
      </c>
      <c r="ABP4" t="s">
        <v>1262</v>
      </c>
      <c r="ABQ4" t="s">
        <v>1262</v>
      </c>
      <c r="ABR4" t="s">
        <v>1262</v>
      </c>
      <c r="ABS4" t="s">
        <v>1262</v>
      </c>
      <c r="ABT4" t="s">
        <v>1262</v>
      </c>
      <c r="ABU4" t="s">
        <v>1262</v>
      </c>
      <c r="ABV4" t="s">
        <v>1262</v>
      </c>
      <c r="ABW4" t="s">
        <v>1262</v>
      </c>
      <c r="ABX4" t="s">
        <v>1263</v>
      </c>
      <c r="ABY4" t="s">
        <v>1263</v>
      </c>
      <c r="ABZ4" t="s">
        <v>1263</v>
      </c>
      <c r="ACA4" t="s">
        <v>1263</v>
      </c>
      <c r="ACB4" t="s">
        <v>1263</v>
      </c>
      <c r="ACC4" t="s">
        <v>1263</v>
      </c>
      <c r="ACD4" t="s">
        <v>1263</v>
      </c>
      <c r="ACE4" t="s">
        <v>1263</v>
      </c>
      <c r="ACF4" t="s">
        <v>1263</v>
      </c>
      <c r="ACG4" t="s">
        <v>1263</v>
      </c>
      <c r="ACH4" t="s">
        <v>1264</v>
      </c>
      <c r="ACI4" t="s">
        <v>1264</v>
      </c>
      <c r="ACJ4" t="s">
        <v>1264</v>
      </c>
      <c r="ACK4" t="s">
        <v>1264</v>
      </c>
      <c r="ACL4" t="s">
        <v>1264</v>
      </c>
      <c r="ACM4" t="s">
        <v>1264</v>
      </c>
      <c r="ACN4" t="s">
        <v>1264</v>
      </c>
      <c r="ACO4" t="s">
        <v>1264</v>
      </c>
      <c r="ACP4" t="s">
        <v>1264</v>
      </c>
      <c r="ACQ4" t="s">
        <v>1264</v>
      </c>
      <c r="ACR4" t="s">
        <v>1265</v>
      </c>
      <c r="ACS4" t="s">
        <v>1265</v>
      </c>
      <c r="ACT4" t="s">
        <v>1265</v>
      </c>
      <c r="ACU4" t="s">
        <v>1265</v>
      </c>
      <c r="ACV4" t="s">
        <v>1265</v>
      </c>
      <c r="ACW4" t="s">
        <v>1265</v>
      </c>
      <c r="ACX4" t="s">
        <v>1265</v>
      </c>
      <c r="ACY4" t="s">
        <v>1265</v>
      </c>
      <c r="ACZ4" t="s">
        <v>1265</v>
      </c>
      <c r="ADA4" t="s">
        <v>1265</v>
      </c>
      <c r="ADB4" t="s">
        <v>1266</v>
      </c>
      <c r="ADC4" t="s">
        <v>1266</v>
      </c>
      <c r="ADD4" t="s">
        <v>1266</v>
      </c>
      <c r="ADE4" t="s">
        <v>1266</v>
      </c>
      <c r="ADF4" t="s">
        <v>1266</v>
      </c>
      <c r="ADG4" t="s">
        <v>1266</v>
      </c>
      <c r="ADH4" t="s">
        <v>1266</v>
      </c>
      <c r="ADI4" t="s">
        <v>1266</v>
      </c>
      <c r="ADJ4" t="s">
        <v>1266</v>
      </c>
      <c r="ADK4" t="s">
        <v>1266</v>
      </c>
      <c r="ADL4" t="s">
        <v>1267</v>
      </c>
      <c r="ADM4" t="s">
        <v>1267</v>
      </c>
      <c r="ADN4" t="s">
        <v>1267</v>
      </c>
      <c r="ADO4" t="s">
        <v>1267</v>
      </c>
      <c r="ADP4" t="s">
        <v>1267</v>
      </c>
      <c r="ADQ4" t="s">
        <v>1267</v>
      </c>
      <c r="ADR4" t="s">
        <v>1267</v>
      </c>
      <c r="ADS4" t="s">
        <v>1267</v>
      </c>
      <c r="ADT4" t="s">
        <v>1267</v>
      </c>
      <c r="ADU4" t="s">
        <v>1267</v>
      </c>
      <c r="ADV4" t="s">
        <v>1268</v>
      </c>
      <c r="ADW4" t="s">
        <v>1268</v>
      </c>
      <c r="ADX4" t="s">
        <v>1268</v>
      </c>
      <c r="ADY4" t="s">
        <v>1268</v>
      </c>
      <c r="ADZ4" t="s">
        <v>1268</v>
      </c>
      <c r="AEA4" t="s">
        <v>1268</v>
      </c>
      <c r="AEB4" t="s">
        <v>1268</v>
      </c>
      <c r="AEC4" t="s">
        <v>1268</v>
      </c>
      <c r="AED4" t="s">
        <v>1268</v>
      </c>
      <c r="AEE4" t="s">
        <v>1268</v>
      </c>
      <c r="AEF4" t="s">
        <v>1269</v>
      </c>
      <c r="AEG4" t="s">
        <v>1269</v>
      </c>
      <c r="AEH4" t="s">
        <v>1269</v>
      </c>
      <c r="AEI4" t="s">
        <v>1269</v>
      </c>
      <c r="AEJ4" t="s">
        <v>1269</v>
      </c>
      <c r="AEK4" t="s">
        <v>1269</v>
      </c>
      <c r="AEL4" t="s">
        <v>1269</v>
      </c>
      <c r="AEM4" t="s">
        <v>1269</v>
      </c>
      <c r="AEN4" t="s">
        <v>1269</v>
      </c>
      <c r="AEO4" t="s">
        <v>1269</v>
      </c>
      <c r="AEP4" t="s">
        <v>1270</v>
      </c>
      <c r="AEQ4" t="s">
        <v>1270</v>
      </c>
      <c r="AER4" t="s">
        <v>1270</v>
      </c>
      <c r="AES4" t="s">
        <v>1270</v>
      </c>
      <c r="AET4" t="s">
        <v>1270</v>
      </c>
      <c r="AEU4" t="s">
        <v>1270</v>
      </c>
      <c r="AEV4" t="s">
        <v>1270</v>
      </c>
      <c r="AEW4" t="s">
        <v>1270</v>
      </c>
      <c r="AEX4" t="s">
        <v>1270</v>
      </c>
      <c r="AEY4" t="s">
        <v>1270</v>
      </c>
      <c r="AEZ4" t="s">
        <v>1271</v>
      </c>
      <c r="AFA4" t="s">
        <v>1271</v>
      </c>
      <c r="AFB4" t="s">
        <v>1271</v>
      </c>
      <c r="AFC4" t="s">
        <v>1271</v>
      </c>
      <c r="AFD4" t="s">
        <v>1271</v>
      </c>
      <c r="AFE4" t="s">
        <v>1271</v>
      </c>
      <c r="AFF4" t="s">
        <v>1271</v>
      </c>
      <c r="AFG4" t="s">
        <v>1271</v>
      </c>
      <c r="AFH4" t="s">
        <v>1271</v>
      </c>
      <c r="AFI4" t="s">
        <v>1271</v>
      </c>
      <c r="AFJ4" t="s">
        <v>1272</v>
      </c>
      <c r="AFK4" t="s">
        <v>1272</v>
      </c>
      <c r="AFL4" t="s">
        <v>1272</v>
      </c>
      <c r="AFM4" t="s">
        <v>1272</v>
      </c>
      <c r="AFN4" t="s">
        <v>1272</v>
      </c>
      <c r="AFO4" t="s">
        <v>1272</v>
      </c>
      <c r="AFP4" t="s">
        <v>1272</v>
      </c>
      <c r="AFQ4" t="s">
        <v>1272</v>
      </c>
      <c r="AFR4" t="s">
        <v>1272</v>
      </c>
      <c r="AFS4" t="s">
        <v>1272</v>
      </c>
      <c r="AFT4" t="s">
        <v>1273</v>
      </c>
      <c r="AFU4" t="s">
        <v>1273</v>
      </c>
      <c r="AFV4" t="s">
        <v>1273</v>
      </c>
      <c r="AFW4" t="s">
        <v>1273</v>
      </c>
      <c r="AFX4" t="s">
        <v>1273</v>
      </c>
      <c r="AFY4" t="s">
        <v>1273</v>
      </c>
      <c r="AFZ4" t="s">
        <v>1273</v>
      </c>
      <c r="AGA4" t="s">
        <v>1273</v>
      </c>
      <c r="AGB4" t="s">
        <v>1273</v>
      </c>
      <c r="AGC4" t="s">
        <v>1273</v>
      </c>
      <c r="AGD4" t="s">
        <v>1274</v>
      </c>
      <c r="AGE4" t="s">
        <v>1274</v>
      </c>
      <c r="AGF4" t="s">
        <v>1274</v>
      </c>
      <c r="AGG4" t="s">
        <v>1274</v>
      </c>
      <c r="AGH4" t="s">
        <v>1274</v>
      </c>
      <c r="AGI4" t="s">
        <v>1274</v>
      </c>
      <c r="AGJ4" t="s">
        <v>1274</v>
      </c>
      <c r="AGK4" t="s">
        <v>1274</v>
      </c>
      <c r="AGL4" t="s">
        <v>1274</v>
      </c>
      <c r="AGM4" t="s">
        <v>1274</v>
      </c>
      <c r="AGN4" t="s">
        <v>1275</v>
      </c>
      <c r="AGO4" t="s">
        <v>1275</v>
      </c>
      <c r="AGP4" t="s">
        <v>1275</v>
      </c>
      <c r="AGQ4" t="s">
        <v>1275</v>
      </c>
      <c r="AGR4" t="s">
        <v>1275</v>
      </c>
      <c r="AGS4" t="s">
        <v>1275</v>
      </c>
      <c r="AGT4" t="s">
        <v>1275</v>
      </c>
      <c r="AGU4" t="s">
        <v>1275</v>
      </c>
      <c r="AGV4" t="s">
        <v>1275</v>
      </c>
      <c r="AGW4" t="s">
        <v>1275</v>
      </c>
      <c r="AGX4" t="s">
        <v>1276</v>
      </c>
      <c r="AGY4" t="s">
        <v>1276</v>
      </c>
      <c r="AGZ4" t="s">
        <v>1276</v>
      </c>
      <c r="AHA4" t="s">
        <v>1276</v>
      </c>
      <c r="AHB4" t="s">
        <v>1276</v>
      </c>
      <c r="AHC4" t="s">
        <v>1276</v>
      </c>
      <c r="AHD4" t="s">
        <v>1276</v>
      </c>
      <c r="AHE4" t="s">
        <v>1276</v>
      </c>
      <c r="AHF4" t="s">
        <v>1276</v>
      </c>
      <c r="AHG4" t="s">
        <v>1276</v>
      </c>
      <c r="AHH4" t="s">
        <v>1277</v>
      </c>
      <c r="AHI4" t="s">
        <v>1277</v>
      </c>
      <c r="AHJ4" t="s">
        <v>1277</v>
      </c>
      <c r="AHK4" t="s">
        <v>1277</v>
      </c>
      <c r="AHL4" t="s">
        <v>1277</v>
      </c>
      <c r="AHM4" t="s">
        <v>1277</v>
      </c>
      <c r="AHN4" t="s">
        <v>1277</v>
      </c>
      <c r="AHO4" t="s">
        <v>1277</v>
      </c>
      <c r="AHP4" t="s">
        <v>1277</v>
      </c>
      <c r="AHQ4" t="s">
        <v>1277</v>
      </c>
      <c r="AHR4" t="s">
        <v>1278</v>
      </c>
      <c r="AHS4" t="s">
        <v>1278</v>
      </c>
      <c r="AHT4" t="s">
        <v>1278</v>
      </c>
      <c r="AHU4" t="s">
        <v>1278</v>
      </c>
      <c r="AHV4" t="s">
        <v>1278</v>
      </c>
      <c r="AHW4" t="s">
        <v>1278</v>
      </c>
      <c r="AHX4" t="s">
        <v>1278</v>
      </c>
      <c r="AHY4" t="s">
        <v>1278</v>
      </c>
      <c r="AHZ4" t="s">
        <v>1278</v>
      </c>
      <c r="AIA4" t="s">
        <v>1278</v>
      </c>
      <c r="AIB4" t="s">
        <v>1279</v>
      </c>
      <c r="AIC4" t="s">
        <v>1279</v>
      </c>
      <c r="AID4" t="s">
        <v>1279</v>
      </c>
      <c r="AIE4" t="s">
        <v>1279</v>
      </c>
      <c r="AIF4" t="s">
        <v>1279</v>
      </c>
      <c r="AIG4" t="s">
        <v>1279</v>
      </c>
      <c r="AIH4" t="s">
        <v>1279</v>
      </c>
      <c r="AII4" t="s">
        <v>1279</v>
      </c>
      <c r="AIJ4" t="s">
        <v>1279</v>
      </c>
      <c r="AIK4" t="s">
        <v>1279</v>
      </c>
      <c r="AIL4" t="s">
        <v>1280</v>
      </c>
      <c r="AIM4" t="s">
        <v>1280</v>
      </c>
      <c r="AIN4" t="s">
        <v>1280</v>
      </c>
      <c r="AIO4" t="s">
        <v>1280</v>
      </c>
      <c r="AIP4" t="s">
        <v>1280</v>
      </c>
      <c r="AIQ4" t="s">
        <v>1280</v>
      </c>
      <c r="AIR4" t="s">
        <v>1280</v>
      </c>
      <c r="AIS4" t="s">
        <v>1280</v>
      </c>
      <c r="AIT4" t="s">
        <v>1280</v>
      </c>
      <c r="AIU4" t="s">
        <v>1280</v>
      </c>
      <c r="AIV4" t="s">
        <v>1281</v>
      </c>
      <c r="AIW4" t="s">
        <v>1281</v>
      </c>
      <c r="AIX4" t="s">
        <v>1281</v>
      </c>
      <c r="AIY4" t="s">
        <v>1281</v>
      </c>
      <c r="AIZ4" t="s">
        <v>1281</v>
      </c>
      <c r="AJA4" t="s">
        <v>1281</v>
      </c>
      <c r="AJB4" t="s">
        <v>1281</v>
      </c>
      <c r="AJC4" t="s">
        <v>1281</v>
      </c>
      <c r="AJD4" t="s">
        <v>1281</v>
      </c>
      <c r="AJE4" t="s">
        <v>1281</v>
      </c>
      <c r="AJF4" t="s">
        <v>1282</v>
      </c>
      <c r="AJG4" t="s">
        <v>1282</v>
      </c>
      <c r="AJH4" t="s">
        <v>1282</v>
      </c>
      <c r="AJI4" t="s">
        <v>1282</v>
      </c>
      <c r="AJJ4" t="s">
        <v>1282</v>
      </c>
      <c r="AJK4" t="s">
        <v>1282</v>
      </c>
      <c r="AJL4" t="s">
        <v>1282</v>
      </c>
      <c r="AJM4" t="s">
        <v>1282</v>
      </c>
      <c r="AJN4" t="s">
        <v>1282</v>
      </c>
      <c r="AJO4" t="s">
        <v>1282</v>
      </c>
      <c r="AJP4" t="s">
        <v>1283</v>
      </c>
      <c r="AJQ4" t="s">
        <v>1283</v>
      </c>
      <c r="AJR4" t="s">
        <v>1283</v>
      </c>
      <c r="AJS4" t="s">
        <v>1283</v>
      </c>
      <c r="AJT4" t="s">
        <v>1283</v>
      </c>
      <c r="AJU4" t="s">
        <v>1283</v>
      </c>
      <c r="AJV4" t="s">
        <v>1283</v>
      </c>
      <c r="AJW4" t="s">
        <v>1283</v>
      </c>
      <c r="AJX4" t="s">
        <v>1283</v>
      </c>
      <c r="AJY4" t="s">
        <v>1283</v>
      </c>
      <c r="AJZ4" t="s">
        <v>1284</v>
      </c>
      <c r="AKA4" t="s">
        <v>1284</v>
      </c>
      <c r="AKB4" t="s">
        <v>1284</v>
      </c>
      <c r="AKC4" t="s">
        <v>1284</v>
      </c>
      <c r="AKD4" t="s">
        <v>1284</v>
      </c>
      <c r="AKE4" t="s">
        <v>1284</v>
      </c>
      <c r="AKF4" t="s">
        <v>1284</v>
      </c>
      <c r="AKG4" t="s">
        <v>1284</v>
      </c>
      <c r="AKH4" t="s">
        <v>1284</v>
      </c>
      <c r="AKI4" t="s">
        <v>1284</v>
      </c>
      <c r="AKJ4" t="s">
        <v>1285</v>
      </c>
      <c r="AKK4" t="s">
        <v>1285</v>
      </c>
      <c r="AKL4" t="s">
        <v>1285</v>
      </c>
      <c r="AKM4" t="s">
        <v>1285</v>
      </c>
      <c r="AKN4" t="s">
        <v>1285</v>
      </c>
      <c r="AKO4" t="s">
        <v>1285</v>
      </c>
      <c r="AKP4" t="s">
        <v>1285</v>
      </c>
      <c r="AKQ4" t="s">
        <v>1285</v>
      </c>
      <c r="AKR4" t="s">
        <v>1285</v>
      </c>
      <c r="AKS4" t="s">
        <v>1285</v>
      </c>
      <c r="AKT4" t="s">
        <v>1286</v>
      </c>
      <c r="AKU4" t="s">
        <v>1286</v>
      </c>
      <c r="AKV4" t="s">
        <v>1286</v>
      </c>
      <c r="AKW4" t="s">
        <v>1286</v>
      </c>
      <c r="AKX4" t="s">
        <v>1286</v>
      </c>
      <c r="AKY4" t="s">
        <v>1286</v>
      </c>
      <c r="AKZ4" t="s">
        <v>1286</v>
      </c>
      <c r="ALA4" t="s">
        <v>1286</v>
      </c>
      <c r="ALB4" t="s">
        <v>1286</v>
      </c>
      <c r="ALC4" t="s">
        <v>1286</v>
      </c>
      <c r="ALD4" t="s">
        <v>1287</v>
      </c>
      <c r="ALE4" t="s">
        <v>1287</v>
      </c>
      <c r="ALF4" t="s">
        <v>1287</v>
      </c>
      <c r="ALG4" t="s">
        <v>1287</v>
      </c>
      <c r="ALH4" t="s">
        <v>1287</v>
      </c>
      <c r="ALI4" t="s">
        <v>1287</v>
      </c>
      <c r="ALJ4" t="s">
        <v>1287</v>
      </c>
      <c r="ALK4" t="s">
        <v>1287</v>
      </c>
      <c r="ALL4" t="s">
        <v>1287</v>
      </c>
    </row>
    <row r="5" spans="1:1000" x14ac:dyDescent="0.3">
      <c r="A5" t="s">
        <v>1192</v>
      </c>
      <c r="B5" t="s">
        <v>1192</v>
      </c>
      <c r="C5" t="s">
        <v>1192</v>
      </c>
      <c r="D5" t="s">
        <v>1192</v>
      </c>
      <c r="E5" t="s">
        <v>1192</v>
      </c>
      <c r="F5" t="s">
        <v>1192</v>
      </c>
      <c r="G5" t="s">
        <v>1192</v>
      </c>
      <c r="H5" t="s">
        <v>1192</v>
      </c>
      <c r="I5" t="s">
        <v>1192</v>
      </c>
      <c r="J5" t="s">
        <v>1192</v>
      </c>
      <c r="K5" t="s">
        <v>1192</v>
      </c>
      <c r="L5" t="s">
        <v>1192</v>
      </c>
      <c r="M5" t="s">
        <v>1192</v>
      </c>
      <c r="N5" t="s">
        <v>1192</v>
      </c>
      <c r="O5" t="s">
        <v>1192</v>
      </c>
      <c r="P5" t="s">
        <v>1192</v>
      </c>
      <c r="Q5" t="s">
        <v>1192</v>
      </c>
      <c r="R5" t="s">
        <v>1192</v>
      </c>
      <c r="S5" t="s">
        <v>1192</v>
      </c>
      <c r="T5" t="s">
        <v>1192</v>
      </c>
      <c r="U5" t="s">
        <v>1192</v>
      </c>
      <c r="V5" t="s">
        <v>1192</v>
      </c>
      <c r="W5" t="s">
        <v>1192</v>
      </c>
      <c r="X5" t="s">
        <v>1192</v>
      </c>
      <c r="Y5" t="s">
        <v>1192</v>
      </c>
      <c r="Z5" t="s">
        <v>1192</v>
      </c>
      <c r="AA5" t="s">
        <v>1192</v>
      </c>
      <c r="AB5" t="s">
        <v>1192</v>
      </c>
      <c r="AC5" t="s">
        <v>1192</v>
      </c>
      <c r="AD5" t="s">
        <v>1192</v>
      </c>
      <c r="AE5" t="s">
        <v>1192</v>
      </c>
      <c r="AF5" t="s">
        <v>1192</v>
      </c>
      <c r="AG5" t="s">
        <v>1192</v>
      </c>
      <c r="AH5" t="s">
        <v>1192</v>
      </c>
      <c r="AI5" t="s">
        <v>1192</v>
      </c>
      <c r="AJ5" t="s">
        <v>1192</v>
      </c>
      <c r="AK5" t="s">
        <v>1192</v>
      </c>
      <c r="AL5" t="s">
        <v>1192</v>
      </c>
      <c r="AM5" t="s">
        <v>1192</v>
      </c>
      <c r="AN5" t="s">
        <v>1192</v>
      </c>
      <c r="AO5" t="s">
        <v>1192</v>
      </c>
      <c r="AP5" t="s">
        <v>1192</v>
      </c>
      <c r="AQ5" t="s">
        <v>1192</v>
      </c>
      <c r="AR5" t="s">
        <v>1192</v>
      </c>
      <c r="AS5" t="s">
        <v>1192</v>
      </c>
      <c r="AT5" t="s">
        <v>1192</v>
      </c>
      <c r="AU5" t="s">
        <v>1192</v>
      </c>
      <c r="AV5" t="s">
        <v>1192</v>
      </c>
      <c r="AW5" t="s">
        <v>1192</v>
      </c>
      <c r="AX5" t="s">
        <v>1192</v>
      </c>
      <c r="AY5" t="s">
        <v>1192</v>
      </c>
      <c r="AZ5" t="s">
        <v>1193</v>
      </c>
      <c r="BA5" t="s">
        <v>1193</v>
      </c>
      <c r="BB5" t="s">
        <v>1193</v>
      </c>
      <c r="BC5" t="s">
        <v>1193</v>
      </c>
      <c r="BD5" t="s">
        <v>1193</v>
      </c>
      <c r="BE5" t="s">
        <v>1193</v>
      </c>
      <c r="BF5" t="s">
        <v>1193</v>
      </c>
      <c r="BG5" t="s">
        <v>1193</v>
      </c>
      <c r="BH5" t="s">
        <v>1193</v>
      </c>
      <c r="BI5" t="s">
        <v>1193</v>
      </c>
      <c r="BJ5" t="s">
        <v>1194</v>
      </c>
      <c r="BK5" t="s">
        <v>1194</v>
      </c>
      <c r="BL5" t="s">
        <v>1194</v>
      </c>
      <c r="BM5" t="s">
        <v>1194</v>
      </c>
      <c r="BN5" t="s">
        <v>1194</v>
      </c>
      <c r="BO5" t="s">
        <v>1194</v>
      </c>
      <c r="BP5" t="s">
        <v>1194</v>
      </c>
      <c r="BQ5" t="s">
        <v>1194</v>
      </c>
      <c r="BR5" t="s">
        <v>1194</v>
      </c>
      <c r="BS5" t="s">
        <v>1194</v>
      </c>
      <c r="BT5" t="s">
        <v>1195</v>
      </c>
      <c r="BU5" t="s">
        <v>1195</v>
      </c>
      <c r="BV5" t="s">
        <v>1195</v>
      </c>
      <c r="BW5" t="s">
        <v>1195</v>
      </c>
      <c r="BX5" t="s">
        <v>1195</v>
      </c>
      <c r="BY5" t="s">
        <v>1195</v>
      </c>
      <c r="BZ5" t="s">
        <v>1195</v>
      </c>
      <c r="CA5" t="s">
        <v>1195</v>
      </c>
      <c r="CB5" t="s">
        <v>1195</v>
      </c>
      <c r="CC5" t="s">
        <v>1195</v>
      </c>
      <c r="CD5" t="s">
        <v>1196</v>
      </c>
      <c r="CE5" t="s">
        <v>1196</v>
      </c>
      <c r="CF5" t="s">
        <v>1196</v>
      </c>
      <c r="CG5" t="s">
        <v>1196</v>
      </c>
      <c r="CH5" t="s">
        <v>1196</v>
      </c>
      <c r="CI5" t="s">
        <v>1196</v>
      </c>
      <c r="CJ5" t="s">
        <v>1196</v>
      </c>
      <c r="CK5" t="s">
        <v>1196</v>
      </c>
      <c r="CL5" t="s">
        <v>1196</v>
      </c>
      <c r="CM5" t="s">
        <v>1196</v>
      </c>
      <c r="CN5" t="s">
        <v>1197</v>
      </c>
      <c r="CO5" t="s">
        <v>1197</v>
      </c>
      <c r="CP5" t="s">
        <v>1197</v>
      </c>
      <c r="CQ5" t="s">
        <v>1197</v>
      </c>
      <c r="CR5" t="s">
        <v>1197</v>
      </c>
      <c r="CS5" t="s">
        <v>1197</v>
      </c>
      <c r="CT5" t="s">
        <v>1197</v>
      </c>
      <c r="CU5" t="s">
        <v>1197</v>
      </c>
      <c r="CV5" t="s">
        <v>1197</v>
      </c>
      <c r="CW5" t="s">
        <v>1197</v>
      </c>
      <c r="CX5" t="s">
        <v>1198</v>
      </c>
      <c r="CY5" t="s">
        <v>1198</v>
      </c>
      <c r="CZ5" t="s">
        <v>1198</v>
      </c>
      <c r="DA5" t="s">
        <v>1198</v>
      </c>
      <c r="DB5" t="s">
        <v>1198</v>
      </c>
      <c r="DC5" t="s">
        <v>1198</v>
      </c>
      <c r="DD5" t="s">
        <v>1198</v>
      </c>
      <c r="DE5" t="s">
        <v>1198</v>
      </c>
      <c r="DF5" t="s">
        <v>1198</v>
      </c>
      <c r="DG5" t="s">
        <v>1198</v>
      </c>
      <c r="DH5" t="s">
        <v>1199</v>
      </c>
      <c r="DI5" t="s">
        <v>1199</v>
      </c>
      <c r="DJ5" t="s">
        <v>1199</v>
      </c>
      <c r="DK5" t="s">
        <v>1199</v>
      </c>
      <c r="DL5" t="s">
        <v>1199</v>
      </c>
      <c r="DM5" t="s">
        <v>1199</v>
      </c>
      <c r="DN5" t="s">
        <v>1199</v>
      </c>
      <c r="DO5" t="s">
        <v>1199</v>
      </c>
      <c r="DP5" t="s">
        <v>1199</v>
      </c>
      <c r="DQ5" t="s">
        <v>1199</v>
      </c>
      <c r="DR5" t="s">
        <v>1200</v>
      </c>
      <c r="DS5" t="s">
        <v>1200</v>
      </c>
      <c r="DT5" t="s">
        <v>1200</v>
      </c>
      <c r="DU5" t="s">
        <v>1200</v>
      </c>
      <c r="DV5" t="s">
        <v>1200</v>
      </c>
      <c r="DW5" t="s">
        <v>1200</v>
      </c>
      <c r="DX5" t="s">
        <v>1200</v>
      </c>
      <c r="DY5" t="s">
        <v>1200</v>
      </c>
      <c r="DZ5" t="s">
        <v>1200</v>
      </c>
      <c r="EA5" t="s">
        <v>1200</v>
      </c>
      <c r="EB5" t="s">
        <v>1201</v>
      </c>
      <c r="EC5" t="s">
        <v>1201</v>
      </c>
      <c r="ED5" t="s">
        <v>1201</v>
      </c>
      <c r="EE5" t="s">
        <v>1201</v>
      </c>
      <c r="EF5" t="s">
        <v>1201</v>
      </c>
      <c r="EG5" t="s">
        <v>1201</v>
      </c>
      <c r="EH5" t="s">
        <v>1201</v>
      </c>
      <c r="EI5" t="s">
        <v>1201</v>
      </c>
      <c r="EJ5" t="s">
        <v>1201</v>
      </c>
      <c r="EK5" t="s">
        <v>1201</v>
      </c>
      <c r="EL5" t="s">
        <v>1202</v>
      </c>
      <c r="EM5" t="s">
        <v>1202</v>
      </c>
      <c r="EN5" t="s">
        <v>1202</v>
      </c>
      <c r="EO5" t="s">
        <v>1202</v>
      </c>
      <c r="EP5" t="s">
        <v>1202</v>
      </c>
      <c r="EQ5" t="s">
        <v>1202</v>
      </c>
      <c r="ER5" t="s">
        <v>1202</v>
      </c>
      <c r="ES5" t="s">
        <v>1202</v>
      </c>
      <c r="ET5" t="s">
        <v>1202</v>
      </c>
      <c r="EU5" t="s">
        <v>1202</v>
      </c>
      <c r="EV5" t="s">
        <v>1203</v>
      </c>
      <c r="EW5" t="s">
        <v>1203</v>
      </c>
      <c r="EX5" t="s">
        <v>1203</v>
      </c>
      <c r="EY5" t="s">
        <v>1203</v>
      </c>
      <c r="EZ5" t="s">
        <v>1203</v>
      </c>
      <c r="FA5" t="s">
        <v>1203</v>
      </c>
      <c r="FB5" t="s">
        <v>1203</v>
      </c>
      <c r="FC5" t="s">
        <v>1203</v>
      </c>
      <c r="FD5" t="s">
        <v>1203</v>
      </c>
      <c r="FE5" t="s">
        <v>1203</v>
      </c>
      <c r="FF5" t="s">
        <v>1204</v>
      </c>
      <c r="FG5" t="s">
        <v>1204</v>
      </c>
      <c r="FH5" t="s">
        <v>1204</v>
      </c>
      <c r="FI5" t="s">
        <v>1204</v>
      </c>
      <c r="FJ5" t="s">
        <v>1204</v>
      </c>
      <c r="FK5" t="s">
        <v>1204</v>
      </c>
      <c r="FL5" t="s">
        <v>1204</v>
      </c>
      <c r="FM5" t="s">
        <v>1204</v>
      </c>
      <c r="FN5" t="s">
        <v>1204</v>
      </c>
      <c r="FO5" t="s">
        <v>1204</v>
      </c>
      <c r="FP5" t="s">
        <v>1205</v>
      </c>
      <c r="FQ5" t="s">
        <v>1205</v>
      </c>
      <c r="FR5" t="s">
        <v>1205</v>
      </c>
      <c r="FS5" t="s">
        <v>1205</v>
      </c>
      <c r="FT5" t="s">
        <v>1205</v>
      </c>
      <c r="FU5" t="s">
        <v>1205</v>
      </c>
      <c r="FV5" t="s">
        <v>1205</v>
      </c>
      <c r="FW5" t="s">
        <v>1205</v>
      </c>
      <c r="FX5" t="s">
        <v>1205</v>
      </c>
      <c r="FY5" t="s">
        <v>1205</v>
      </c>
      <c r="FZ5" t="s">
        <v>1206</v>
      </c>
      <c r="GA5" t="s">
        <v>1206</v>
      </c>
      <c r="GB5" t="s">
        <v>1206</v>
      </c>
      <c r="GC5" t="s">
        <v>1206</v>
      </c>
      <c r="GD5" t="s">
        <v>1206</v>
      </c>
      <c r="GE5" t="s">
        <v>1206</v>
      </c>
      <c r="GF5" t="s">
        <v>1206</v>
      </c>
      <c r="GG5" t="s">
        <v>1206</v>
      </c>
      <c r="GH5" t="s">
        <v>1206</v>
      </c>
      <c r="GI5" t="s">
        <v>1206</v>
      </c>
      <c r="GJ5" t="s">
        <v>1207</v>
      </c>
      <c r="GK5" t="s">
        <v>1207</v>
      </c>
      <c r="GL5" t="s">
        <v>1207</v>
      </c>
      <c r="GM5" t="s">
        <v>1207</v>
      </c>
      <c r="GN5" t="s">
        <v>1207</v>
      </c>
      <c r="GO5" t="s">
        <v>1207</v>
      </c>
      <c r="GP5" t="s">
        <v>1207</v>
      </c>
      <c r="GQ5" t="s">
        <v>1207</v>
      </c>
      <c r="GR5" t="s">
        <v>1207</v>
      </c>
      <c r="GS5" t="s">
        <v>1207</v>
      </c>
      <c r="GT5" t="s">
        <v>1208</v>
      </c>
      <c r="GU5" t="s">
        <v>1208</v>
      </c>
      <c r="GV5" t="s">
        <v>1208</v>
      </c>
      <c r="GW5" t="s">
        <v>1208</v>
      </c>
      <c r="GX5" t="s">
        <v>1208</v>
      </c>
      <c r="GY5" t="s">
        <v>1208</v>
      </c>
      <c r="GZ5" t="s">
        <v>1208</v>
      </c>
      <c r="HA5" t="s">
        <v>1208</v>
      </c>
      <c r="HB5" t="s">
        <v>1208</v>
      </c>
      <c r="HC5" t="s">
        <v>1208</v>
      </c>
      <c r="HD5" t="s">
        <v>1209</v>
      </c>
      <c r="HE5" t="s">
        <v>1209</v>
      </c>
      <c r="HF5" t="s">
        <v>1209</v>
      </c>
      <c r="HG5" t="s">
        <v>1209</v>
      </c>
      <c r="HH5" t="s">
        <v>1209</v>
      </c>
      <c r="HI5" t="s">
        <v>1209</v>
      </c>
      <c r="HJ5" t="s">
        <v>1209</v>
      </c>
      <c r="HK5" t="s">
        <v>1209</v>
      </c>
      <c r="HL5" t="s">
        <v>1209</v>
      </c>
      <c r="HM5" t="s">
        <v>1209</v>
      </c>
      <c r="HN5" t="s">
        <v>1210</v>
      </c>
      <c r="HO5" t="s">
        <v>1210</v>
      </c>
      <c r="HP5" t="s">
        <v>1210</v>
      </c>
      <c r="HQ5" t="s">
        <v>1210</v>
      </c>
      <c r="HR5" t="s">
        <v>1210</v>
      </c>
      <c r="HS5" t="s">
        <v>1210</v>
      </c>
      <c r="HT5" t="s">
        <v>1210</v>
      </c>
      <c r="HU5" t="s">
        <v>1210</v>
      </c>
      <c r="HV5" t="s">
        <v>1210</v>
      </c>
      <c r="HW5" t="s">
        <v>1210</v>
      </c>
      <c r="HX5" t="s">
        <v>1211</v>
      </c>
      <c r="HY5" t="s">
        <v>1211</v>
      </c>
      <c r="HZ5" t="s">
        <v>1211</v>
      </c>
      <c r="IA5" t="s">
        <v>1211</v>
      </c>
      <c r="IB5" t="s">
        <v>1211</v>
      </c>
      <c r="IC5" t="s">
        <v>1211</v>
      </c>
      <c r="ID5" t="s">
        <v>1211</v>
      </c>
      <c r="IE5" t="s">
        <v>1211</v>
      </c>
      <c r="IF5" t="s">
        <v>1211</v>
      </c>
      <c r="IG5" t="s">
        <v>1211</v>
      </c>
      <c r="IH5" t="s">
        <v>1212</v>
      </c>
      <c r="II5" t="s">
        <v>1212</v>
      </c>
      <c r="IJ5" t="s">
        <v>1212</v>
      </c>
      <c r="IK5" t="s">
        <v>1212</v>
      </c>
      <c r="IL5" t="s">
        <v>1212</v>
      </c>
      <c r="IM5" t="s">
        <v>1212</v>
      </c>
      <c r="IN5" t="s">
        <v>1212</v>
      </c>
      <c r="IO5" t="s">
        <v>1212</v>
      </c>
      <c r="IP5" t="s">
        <v>1212</v>
      </c>
      <c r="IQ5" t="s">
        <v>1212</v>
      </c>
      <c r="IR5" t="s">
        <v>1213</v>
      </c>
      <c r="IS5" t="s">
        <v>1213</v>
      </c>
      <c r="IT5" t="s">
        <v>1213</v>
      </c>
      <c r="IU5" t="s">
        <v>1213</v>
      </c>
      <c r="IV5" t="s">
        <v>1213</v>
      </c>
      <c r="IW5" t="s">
        <v>1213</v>
      </c>
      <c r="IX5" t="s">
        <v>1213</v>
      </c>
      <c r="IY5" t="s">
        <v>1213</v>
      </c>
      <c r="IZ5" t="s">
        <v>1213</v>
      </c>
      <c r="JA5" t="s">
        <v>1213</v>
      </c>
      <c r="JB5" t="s">
        <v>1214</v>
      </c>
      <c r="JC5" t="s">
        <v>1214</v>
      </c>
      <c r="JD5" t="s">
        <v>1214</v>
      </c>
      <c r="JE5" t="s">
        <v>1214</v>
      </c>
      <c r="JF5" t="s">
        <v>1214</v>
      </c>
      <c r="JG5" t="s">
        <v>1214</v>
      </c>
      <c r="JH5" t="s">
        <v>1214</v>
      </c>
      <c r="JI5" t="s">
        <v>1214</v>
      </c>
      <c r="JJ5" t="s">
        <v>1214</v>
      </c>
      <c r="JK5" t="s">
        <v>1214</v>
      </c>
      <c r="JL5" t="s">
        <v>1215</v>
      </c>
      <c r="JM5" t="s">
        <v>1215</v>
      </c>
      <c r="JN5" t="s">
        <v>1215</v>
      </c>
      <c r="JO5" t="s">
        <v>1215</v>
      </c>
      <c r="JP5" t="s">
        <v>1215</v>
      </c>
      <c r="JQ5" t="s">
        <v>1215</v>
      </c>
      <c r="JR5" t="s">
        <v>1215</v>
      </c>
      <c r="JS5" t="s">
        <v>1215</v>
      </c>
      <c r="JT5" t="s">
        <v>1215</v>
      </c>
      <c r="JU5" t="s">
        <v>1215</v>
      </c>
      <c r="JV5" t="s">
        <v>1216</v>
      </c>
      <c r="JW5" t="s">
        <v>1216</v>
      </c>
      <c r="JX5" t="s">
        <v>1216</v>
      </c>
      <c r="JY5" t="s">
        <v>1216</v>
      </c>
      <c r="JZ5" t="s">
        <v>1216</v>
      </c>
      <c r="KA5" t="s">
        <v>1216</v>
      </c>
      <c r="KB5" t="s">
        <v>1216</v>
      </c>
      <c r="KC5" t="s">
        <v>1216</v>
      </c>
      <c r="KD5" t="s">
        <v>1216</v>
      </c>
      <c r="KE5" t="s">
        <v>1216</v>
      </c>
      <c r="KF5" t="s">
        <v>1217</v>
      </c>
      <c r="KG5" t="s">
        <v>1217</v>
      </c>
      <c r="KH5" t="s">
        <v>1217</v>
      </c>
      <c r="KI5" t="s">
        <v>1217</v>
      </c>
      <c r="KJ5" t="s">
        <v>1217</v>
      </c>
      <c r="KK5" t="s">
        <v>1217</v>
      </c>
      <c r="KL5" t="s">
        <v>1217</v>
      </c>
      <c r="KM5" t="s">
        <v>1217</v>
      </c>
      <c r="KN5" t="s">
        <v>1217</v>
      </c>
      <c r="KO5" t="s">
        <v>1217</v>
      </c>
      <c r="KP5" t="s">
        <v>1218</v>
      </c>
      <c r="KQ5" t="s">
        <v>1218</v>
      </c>
      <c r="KR5" t="s">
        <v>1218</v>
      </c>
      <c r="KS5" t="s">
        <v>1218</v>
      </c>
      <c r="KT5" t="s">
        <v>1218</v>
      </c>
      <c r="KU5" t="s">
        <v>1218</v>
      </c>
      <c r="KV5" t="s">
        <v>1218</v>
      </c>
      <c r="KW5" t="s">
        <v>1218</v>
      </c>
      <c r="KX5" t="s">
        <v>1218</v>
      </c>
      <c r="KY5" t="s">
        <v>1218</v>
      </c>
      <c r="KZ5" t="s">
        <v>1219</v>
      </c>
      <c r="LA5" t="s">
        <v>1219</v>
      </c>
      <c r="LB5" t="s">
        <v>1219</v>
      </c>
      <c r="LC5" t="s">
        <v>1219</v>
      </c>
      <c r="LD5" t="s">
        <v>1219</v>
      </c>
      <c r="LE5" t="s">
        <v>1219</v>
      </c>
      <c r="LF5" t="s">
        <v>1219</v>
      </c>
      <c r="LG5" t="s">
        <v>1219</v>
      </c>
      <c r="LH5" t="s">
        <v>1219</v>
      </c>
      <c r="LI5" t="s">
        <v>1219</v>
      </c>
      <c r="LJ5" t="s">
        <v>1220</v>
      </c>
      <c r="LK5" t="s">
        <v>1220</v>
      </c>
      <c r="LL5" t="s">
        <v>1220</v>
      </c>
      <c r="LM5" t="s">
        <v>1220</v>
      </c>
      <c r="LN5" t="s">
        <v>1220</v>
      </c>
      <c r="LO5" t="s">
        <v>1220</v>
      </c>
      <c r="LP5" t="s">
        <v>1220</v>
      </c>
      <c r="LQ5" t="s">
        <v>1220</v>
      </c>
      <c r="LR5" t="s">
        <v>1220</v>
      </c>
      <c r="LS5" t="s">
        <v>1220</v>
      </c>
      <c r="LT5" t="s">
        <v>1221</v>
      </c>
      <c r="LU5" t="s">
        <v>1221</v>
      </c>
      <c r="LV5" t="s">
        <v>1221</v>
      </c>
      <c r="LW5" t="s">
        <v>1221</v>
      </c>
      <c r="LX5" t="s">
        <v>1221</v>
      </c>
      <c r="LY5" t="s">
        <v>1221</v>
      </c>
      <c r="LZ5" t="s">
        <v>1221</v>
      </c>
      <c r="MA5" t="s">
        <v>1221</v>
      </c>
      <c r="MB5" t="s">
        <v>1221</v>
      </c>
      <c r="MC5" t="s">
        <v>1221</v>
      </c>
      <c r="MD5" t="s">
        <v>1222</v>
      </c>
      <c r="ME5" t="s">
        <v>1222</v>
      </c>
      <c r="MF5" t="s">
        <v>1222</v>
      </c>
      <c r="MG5" t="s">
        <v>1222</v>
      </c>
      <c r="MH5" t="s">
        <v>1222</v>
      </c>
      <c r="MI5" t="s">
        <v>1222</v>
      </c>
      <c r="MJ5" t="s">
        <v>1222</v>
      </c>
      <c r="MK5" t="s">
        <v>1222</v>
      </c>
      <c r="ML5" t="s">
        <v>1222</v>
      </c>
      <c r="MM5" t="s">
        <v>1222</v>
      </c>
      <c r="MN5" t="s">
        <v>1223</v>
      </c>
      <c r="MO5" t="s">
        <v>1223</v>
      </c>
      <c r="MP5" t="s">
        <v>1223</v>
      </c>
      <c r="MQ5" t="s">
        <v>1223</v>
      </c>
      <c r="MR5" t="s">
        <v>1223</v>
      </c>
      <c r="MS5" t="s">
        <v>1223</v>
      </c>
      <c r="MT5" t="s">
        <v>1223</v>
      </c>
      <c r="MU5" t="s">
        <v>1223</v>
      </c>
      <c r="MV5" t="s">
        <v>1223</v>
      </c>
      <c r="MW5" t="s">
        <v>1223</v>
      </c>
      <c r="MX5" t="s">
        <v>1224</v>
      </c>
      <c r="MY5" t="s">
        <v>1224</v>
      </c>
      <c r="MZ5" t="s">
        <v>1224</v>
      </c>
      <c r="NA5" t="s">
        <v>1224</v>
      </c>
      <c r="NB5" t="s">
        <v>1224</v>
      </c>
      <c r="NC5" t="s">
        <v>1224</v>
      </c>
      <c r="ND5" t="s">
        <v>1224</v>
      </c>
      <c r="NE5" t="s">
        <v>1224</v>
      </c>
      <c r="NF5" t="s">
        <v>1224</v>
      </c>
      <c r="NG5" t="s">
        <v>1224</v>
      </c>
      <c r="NH5" t="s">
        <v>1225</v>
      </c>
      <c r="NI5" t="s">
        <v>1225</v>
      </c>
      <c r="NJ5" t="s">
        <v>1225</v>
      </c>
      <c r="NK5" t="s">
        <v>1225</v>
      </c>
      <c r="NL5" t="s">
        <v>1225</v>
      </c>
      <c r="NM5" t="s">
        <v>1225</v>
      </c>
      <c r="NN5" t="s">
        <v>1225</v>
      </c>
      <c r="NO5" t="s">
        <v>1225</v>
      </c>
      <c r="NP5" t="s">
        <v>1225</v>
      </c>
      <c r="NQ5" t="s">
        <v>1225</v>
      </c>
      <c r="NR5" t="s">
        <v>1226</v>
      </c>
      <c r="NS5" t="s">
        <v>1226</v>
      </c>
      <c r="NT5" t="s">
        <v>1226</v>
      </c>
      <c r="NU5" t="s">
        <v>1226</v>
      </c>
      <c r="NV5" t="s">
        <v>1226</v>
      </c>
      <c r="NW5" t="s">
        <v>1226</v>
      </c>
      <c r="NX5" t="s">
        <v>1226</v>
      </c>
      <c r="NY5" t="s">
        <v>1226</v>
      </c>
      <c r="NZ5" t="s">
        <v>1226</v>
      </c>
      <c r="OA5" t="s">
        <v>1226</v>
      </c>
      <c r="OB5" t="s">
        <v>1227</v>
      </c>
      <c r="OC5" t="s">
        <v>1227</v>
      </c>
      <c r="OD5" t="s">
        <v>1227</v>
      </c>
      <c r="OE5" t="s">
        <v>1227</v>
      </c>
      <c r="OF5" t="s">
        <v>1227</v>
      </c>
      <c r="OG5" t="s">
        <v>1227</v>
      </c>
      <c r="OH5" t="s">
        <v>1227</v>
      </c>
      <c r="OI5" t="s">
        <v>1227</v>
      </c>
      <c r="OJ5" t="s">
        <v>1227</v>
      </c>
      <c r="OK5" t="s">
        <v>1227</v>
      </c>
      <c r="OL5" t="s">
        <v>1228</v>
      </c>
      <c r="OM5" t="s">
        <v>1228</v>
      </c>
      <c r="ON5" t="s">
        <v>1228</v>
      </c>
      <c r="OO5" t="s">
        <v>1228</v>
      </c>
      <c r="OP5" t="s">
        <v>1228</v>
      </c>
      <c r="OQ5" t="s">
        <v>1228</v>
      </c>
      <c r="OR5" t="s">
        <v>1228</v>
      </c>
      <c r="OS5" t="s">
        <v>1228</v>
      </c>
      <c r="OT5" t="s">
        <v>1228</v>
      </c>
      <c r="OU5" t="s">
        <v>1228</v>
      </c>
      <c r="OV5" t="s">
        <v>1229</v>
      </c>
      <c r="OW5" t="s">
        <v>1229</v>
      </c>
      <c r="OX5" t="s">
        <v>1229</v>
      </c>
      <c r="OY5" t="s">
        <v>1229</v>
      </c>
      <c r="OZ5" t="s">
        <v>1229</v>
      </c>
      <c r="PA5" t="s">
        <v>1229</v>
      </c>
      <c r="PB5" t="s">
        <v>1229</v>
      </c>
      <c r="PC5" t="s">
        <v>1229</v>
      </c>
      <c r="PD5" t="s">
        <v>1229</v>
      </c>
      <c r="PE5" t="s">
        <v>1229</v>
      </c>
      <c r="PF5" t="s">
        <v>1230</v>
      </c>
      <c r="PG5" t="s">
        <v>1230</v>
      </c>
      <c r="PH5" t="s">
        <v>1230</v>
      </c>
      <c r="PI5" t="s">
        <v>1230</v>
      </c>
      <c r="PJ5" t="s">
        <v>1230</v>
      </c>
      <c r="PK5" t="s">
        <v>1230</v>
      </c>
      <c r="PL5" t="s">
        <v>1230</v>
      </c>
      <c r="PM5" t="s">
        <v>1230</v>
      </c>
      <c r="PN5" t="s">
        <v>1230</v>
      </c>
      <c r="PO5" t="s">
        <v>1230</v>
      </c>
      <c r="PP5" t="s">
        <v>1231</v>
      </c>
      <c r="PQ5" t="s">
        <v>1231</v>
      </c>
      <c r="PR5" t="s">
        <v>1231</v>
      </c>
      <c r="PS5" t="s">
        <v>1231</v>
      </c>
      <c r="PT5" t="s">
        <v>1231</v>
      </c>
      <c r="PU5" t="s">
        <v>1231</v>
      </c>
      <c r="PV5" t="s">
        <v>1231</v>
      </c>
      <c r="PW5" t="s">
        <v>1231</v>
      </c>
      <c r="PX5" t="s">
        <v>1231</v>
      </c>
      <c r="PY5" t="s">
        <v>1231</v>
      </c>
      <c r="PZ5" t="s">
        <v>1232</v>
      </c>
      <c r="QA5" t="s">
        <v>1232</v>
      </c>
      <c r="QB5" t="s">
        <v>1232</v>
      </c>
      <c r="QC5" t="s">
        <v>1232</v>
      </c>
      <c r="QD5" t="s">
        <v>1232</v>
      </c>
      <c r="QE5" t="s">
        <v>1232</v>
      </c>
      <c r="QF5" t="s">
        <v>1232</v>
      </c>
      <c r="QG5" t="s">
        <v>1232</v>
      </c>
      <c r="QH5" t="s">
        <v>1232</v>
      </c>
      <c r="QI5" t="s">
        <v>1232</v>
      </c>
      <c r="QJ5" t="s">
        <v>1233</v>
      </c>
      <c r="QK5" t="s">
        <v>1233</v>
      </c>
      <c r="QL5" t="s">
        <v>1233</v>
      </c>
      <c r="QM5" t="s">
        <v>1233</v>
      </c>
      <c r="QN5" t="s">
        <v>1233</v>
      </c>
      <c r="QO5" t="s">
        <v>1233</v>
      </c>
      <c r="QP5" t="s">
        <v>1233</v>
      </c>
      <c r="QQ5" t="s">
        <v>1233</v>
      </c>
      <c r="QR5" t="s">
        <v>1233</v>
      </c>
      <c r="QS5" t="s">
        <v>1233</v>
      </c>
      <c r="QT5" t="s">
        <v>1234</v>
      </c>
      <c r="QU5" t="s">
        <v>1234</v>
      </c>
      <c r="QV5" t="s">
        <v>1234</v>
      </c>
      <c r="QW5" t="s">
        <v>1234</v>
      </c>
      <c r="QX5" t="s">
        <v>1234</v>
      </c>
      <c r="QY5" t="s">
        <v>1234</v>
      </c>
      <c r="QZ5" t="s">
        <v>1234</v>
      </c>
      <c r="RA5" t="s">
        <v>1234</v>
      </c>
      <c r="RB5" t="s">
        <v>1234</v>
      </c>
      <c r="RC5" t="s">
        <v>1234</v>
      </c>
      <c r="RD5" t="s">
        <v>1235</v>
      </c>
      <c r="RE5" t="s">
        <v>1235</v>
      </c>
      <c r="RF5" t="s">
        <v>1235</v>
      </c>
      <c r="RG5" t="s">
        <v>1235</v>
      </c>
      <c r="RH5" t="s">
        <v>1235</v>
      </c>
      <c r="RI5" t="s">
        <v>1235</v>
      </c>
      <c r="RJ5" t="s">
        <v>1235</v>
      </c>
      <c r="RK5" t="s">
        <v>1235</v>
      </c>
      <c r="RL5" t="s">
        <v>1235</v>
      </c>
      <c r="RM5" t="s">
        <v>1235</v>
      </c>
      <c r="RN5" t="s">
        <v>1236</v>
      </c>
      <c r="RO5" t="s">
        <v>1236</v>
      </c>
      <c r="RP5" t="s">
        <v>1236</v>
      </c>
      <c r="RQ5" t="s">
        <v>1236</v>
      </c>
      <c r="RR5" t="s">
        <v>1236</v>
      </c>
      <c r="RS5" t="s">
        <v>1236</v>
      </c>
      <c r="RT5" t="s">
        <v>1236</v>
      </c>
      <c r="RU5" t="s">
        <v>1236</v>
      </c>
      <c r="RV5" t="s">
        <v>1236</v>
      </c>
      <c r="RW5" t="s">
        <v>1236</v>
      </c>
      <c r="RX5" t="s">
        <v>1237</v>
      </c>
      <c r="RY5" t="s">
        <v>1237</v>
      </c>
      <c r="RZ5" t="s">
        <v>1237</v>
      </c>
      <c r="SA5" t="s">
        <v>1237</v>
      </c>
      <c r="SB5" t="s">
        <v>1237</v>
      </c>
      <c r="SC5" t="s">
        <v>1237</v>
      </c>
      <c r="SD5" t="s">
        <v>1237</v>
      </c>
      <c r="SE5" t="s">
        <v>1237</v>
      </c>
      <c r="SF5" t="s">
        <v>1237</v>
      </c>
      <c r="SG5" t="s">
        <v>1237</v>
      </c>
      <c r="SH5" t="s">
        <v>1238</v>
      </c>
      <c r="SI5" t="s">
        <v>1238</v>
      </c>
      <c r="SJ5" t="s">
        <v>1238</v>
      </c>
      <c r="SK5" t="s">
        <v>1238</v>
      </c>
      <c r="SL5" t="s">
        <v>1238</v>
      </c>
      <c r="SM5" t="s">
        <v>1238</v>
      </c>
      <c r="SN5" t="s">
        <v>1238</v>
      </c>
      <c r="SO5" t="s">
        <v>1238</v>
      </c>
      <c r="SP5" t="s">
        <v>1238</v>
      </c>
      <c r="SQ5" t="s">
        <v>1238</v>
      </c>
      <c r="SR5" t="s">
        <v>1239</v>
      </c>
      <c r="SS5" t="s">
        <v>1239</v>
      </c>
      <c r="ST5" t="s">
        <v>1239</v>
      </c>
      <c r="SU5" t="s">
        <v>1239</v>
      </c>
      <c r="SV5" t="s">
        <v>1239</v>
      </c>
      <c r="SW5" t="s">
        <v>1239</v>
      </c>
      <c r="SX5" t="s">
        <v>1239</v>
      </c>
      <c r="SY5" t="s">
        <v>1239</v>
      </c>
      <c r="SZ5" t="s">
        <v>1239</v>
      </c>
      <c r="TA5" t="s">
        <v>1239</v>
      </c>
      <c r="TB5" t="s">
        <v>1240</v>
      </c>
      <c r="TC5" t="s">
        <v>1240</v>
      </c>
      <c r="TD5" t="s">
        <v>1240</v>
      </c>
      <c r="TE5" t="s">
        <v>1240</v>
      </c>
      <c r="TF5" t="s">
        <v>1240</v>
      </c>
      <c r="TG5" t="s">
        <v>1240</v>
      </c>
      <c r="TH5" t="s">
        <v>1240</v>
      </c>
      <c r="TI5" t="s">
        <v>1240</v>
      </c>
      <c r="TJ5" t="s">
        <v>1240</v>
      </c>
      <c r="TK5" t="s">
        <v>1240</v>
      </c>
      <c r="TL5" t="s">
        <v>1241</v>
      </c>
      <c r="TM5" t="s">
        <v>1241</v>
      </c>
      <c r="TN5" t="s">
        <v>1241</v>
      </c>
      <c r="TO5" t="s">
        <v>1241</v>
      </c>
      <c r="TP5" t="s">
        <v>1241</v>
      </c>
      <c r="TQ5" t="s">
        <v>1241</v>
      </c>
      <c r="TR5" t="s">
        <v>1241</v>
      </c>
      <c r="TS5" t="s">
        <v>1241</v>
      </c>
      <c r="TT5" t="s">
        <v>1241</v>
      </c>
      <c r="TU5" t="s">
        <v>1241</v>
      </c>
      <c r="TV5" t="s">
        <v>1242</v>
      </c>
      <c r="TW5" t="s">
        <v>1242</v>
      </c>
      <c r="TX5" t="s">
        <v>1242</v>
      </c>
      <c r="TY5" t="s">
        <v>1242</v>
      </c>
      <c r="TZ5" t="s">
        <v>1242</v>
      </c>
      <c r="UA5" t="s">
        <v>1242</v>
      </c>
      <c r="UB5" t="s">
        <v>1242</v>
      </c>
      <c r="UC5" t="s">
        <v>1242</v>
      </c>
      <c r="UD5" t="s">
        <v>1242</v>
      </c>
      <c r="UE5" t="s">
        <v>1242</v>
      </c>
      <c r="UF5" t="s">
        <v>1243</v>
      </c>
      <c r="UG5" t="s">
        <v>1243</v>
      </c>
      <c r="UH5" t="s">
        <v>1243</v>
      </c>
      <c r="UI5" t="s">
        <v>1243</v>
      </c>
      <c r="UJ5" t="s">
        <v>1243</v>
      </c>
      <c r="UK5" t="s">
        <v>1243</v>
      </c>
      <c r="UL5" t="s">
        <v>1243</v>
      </c>
      <c r="UM5" t="s">
        <v>1243</v>
      </c>
      <c r="UN5" t="s">
        <v>1243</v>
      </c>
      <c r="UO5" t="s">
        <v>1243</v>
      </c>
      <c r="UP5" t="s">
        <v>1244</v>
      </c>
      <c r="UQ5" t="s">
        <v>1244</v>
      </c>
      <c r="UR5" t="s">
        <v>1244</v>
      </c>
      <c r="US5" t="s">
        <v>1244</v>
      </c>
      <c r="UT5" t="s">
        <v>1244</v>
      </c>
      <c r="UU5" t="s">
        <v>1244</v>
      </c>
      <c r="UV5" t="s">
        <v>1244</v>
      </c>
      <c r="UW5" t="s">
        <v>1244</v>
      </c>
      <c r="UX5" t="s">
        <v>1244</v>
      </c>
      <c r="UY5" t="s">
        <v>1244</v>
      </c>
      <c r="UZ5" t="s">
        <v>1245</v>
      </c>
      <c r="VA5" t="s">
        <v>1245</v>
      </c>
      <c r="VB5" t="s">
        <v>1245</v>
      </c>
      <c r="VC5" t="s">
        <v>1245</v>
      </c>
      <c r="VD5" t="s">
        <v>1245</v>
      </c>
      <c r="VE5" t="s">
        <v>1245</v>
      </c>
      <c r="VF5" t="s">
        <v>1245</v>
      </c>
      <c r="VG5" t="s">
        <v>1245</v>
      </c>
      <c r="VH5" t="s">
        <v>1245</v>
      </c>
      <c r="VI5" t="s">
        <v>1245</v>
      </c>
      <c r="VJ5" t="s">
        <v>1246</v>
      </c>
      <c r="VK5" t="s">
        <v>1246</v>
      </c>
      <c r="VL5" t="s">
        <v>1246</v>
      </c>
      <c r="VM5" t="s">
        <v>1246</v>
      </c>
      <c r="VN5" t="s">
        <v>1246</v>
      </c>
      <c r="VO5" t="s">
        <v>1246</v>
      </c>
      <c r="VP5" t="s">
        <v>1246</v>
      </c>
      <c r="VQ5" t="s">
        <v>1246</v>
      </c>
      <c r="VR5" t="s">
        <v>1246</v>
      </c>
      <c r="VS5" t="s">
        <v>1246</v>
      </c>
      <c r="VT5" t="s">
        <v>1247</v>
      </c>
      <c r="VU5" t="s">
        <v>1247</v>
      </c>
      <c r="VV5" t="s">
        <v>1247</v>
      </c>
      <c r="VW5" t="s">
        <v>1247</v>
      </c>
      <c r="VX5" t="s">
        <v>1247</v>
      </c>
      <c r="VY5" t="s">
        <v>1247</v>
      </c>
      <c r="VZ5" t="s">
        <v>1247</v>
      </c>
      <c r="WA5" t="s">
        <v>1247</v>
      </c>
      <c r="WB5" t="s">
        <v>1247</v>
      </c>
      <c r="WC5" t="s">
        <v>1247</v>
      </c>
      <c r="WD5" t="s">
        <v>1248</v>
      </c>
      <c r="WE5" t="s">
        <v>1248</v>
      </c>
      <c r="WF5" t="s">
        <v>1248</v>
      </c>
      <c r="WG5" t="s">
        <v>1248</v>
      </c>
      <c r="WH5" t="s">
        <v>1248</v>
      </c>
      <c r="WI5" t="s">
        <v>1248</v>
      </c>
      <c r="WJ5" t="s">
        <v>1248</v>
      </c>
      <c r="WK5" t="s">
        <v>1248</v>
      </c>
      <c r="WL5" t="s">
        <v>1248</v>
      </c>
      <c r="WM5" t="s">
        <v>1248</v>
      </c>
      <c r="WN5" t="s">
        <v>1249</v>
      </c>
      <c r="WO5" t="s">
        <v>1249</v>
      </c>
      <c r="WP5" t="s">
        <v>1249</v>
      </c>
      <c r="WQ5" t="s">
        <v>1249</v>
      </c>
      <c r="WR5" t="s">
        <v>1249</v>
      </c>
      <c r="WS5" t="s">
        <v>1249</v>
      </c>
      <c r="WT5" t="s">
        <v>1249</v>
      </c>
      <c r="WU5" t="s">
        <v>1249</v>
      </c>
      <c r="WV5" t="s">
        <v>1249</v>
      </c>
      <c r="WW5" t="s">
        <v>1249</v>
      </c>
      <c r="WX5" t="s">
        <v>1250</v>
      </c>
      <c r="WY5" t="s">
        <v>1250</v>
      </c>
      <c r="WZ5" t="s">
        <v>1250</v>
      </c>
      <c r="XA5" t="s">
        <v>1250</v>
      </c>
      <c r="XB5" t="s">
        <v>1250</v>
      </c>
      <c r="XC5" t="s">
        <v>1250</v>
      </c>
      <c r="XD5" t="s">
        <v>1250</v>
      </c>
      <c r="XE5" t="s">
        <v>1250</v>
      </c>
      <c r="XF5" t="s">
        <v>1250</v>
      </c>
      <c r="XG5" t="s">
        <v>1250</v>
      </c>
      <c r="XH5" t="s">
        <v>1251</v>
      </c>
      <c r="XI5" t="s">
        <v>1251</v>
      </c>
      <c r="XJ5" t="s">
        <v>1251</v>
      </c>
      <c r="XK5" t="s">
        <v>1251</v>
      </c>
      <c r="XL5" t="s">
        <v>1251</v>
      </c>
      <c r="XM5" t="s">
        <v>1251</v>
      </c>
      <c r="XN5" t="s">
        <v>1251</v>
      </c>
      <c r="XO5" t="s">
        <v>1251</v>
      </c>
      <c r="XP5" t="s">
        <v>1251</v>
      </c>
      <c r="XQ5" t="s">
        <v>1251</v>
      </c>
      <c r="XR5" t="s">
        <v>1252</v>
      </c>
      <c r="XS5" t="s">
        <v>1252</v>
      </c>
      <c r="XT5" t="s">
        <v>1252</v>
      </c>
      <c r="XU5" t="s">
        <v>1252</v>
      </c>
      <c r="XV5" t="s">
        <v>1252</v>
      </c>
      <c r="XW5" t="s">
        <v>1252</v>
      </c>
      <c r="XX5" t="s">
        <v>1252</v>
      </c>
      <c r="XY5" t="s">
        <v>1252</v>
      </c>
      <c r="XZ5" t="s">
        <v>1252</v>
      </c>
      <c r="YA5" t="s">
        <v>1252</v>
      </c>
      <c r="YB5" t="s">
        <v>1253</v>
      </c>
      <c r="YC5" t="s">
        <v>1253</v>
      </c>
      <c r="YD5" t="s">
        <v>1253</v>
      </c>
      <c r="YE5" t="s">
        <v>1253</v>
      </c>
      <c r="YF5" t="s">
        <v>1253</v>
      </c>
      <c r="YG5" t="s">
        <v>1253</v>
      </c>
      <c r="YH5" t="s">
        <v>1253</v>
      </c>
      <c r="YI5" t="s">
        <v>1253</v>
      </c>
      <c r="YJ5" t="s">
        <v>1253</v>
      </c>
      <c r="YK5" t="s">
        <v>1253</v>
      </c>
      <c r="YL5" t="s">
        <v>1254</v>
      </c>
      <c r="YM5" t="s">
        <v>1254</v>
      </c>
      <c r="YN5" t="s">
        <v>1254</v>
      </c>
      <c r="YO5" t="s">
        <v>1254</v>
      </c>
      <c r="YP5" t="s">
        <v>1254</v>
      </c>
      <c r="YQ5" t="s">
        <v>1254</v>
      </c>
      <c r="YR5" t="s">
        <v>1254</v>
      </c>
      <c r="YS5" t="s">
        <v>1254</v>
      </c>
      <c r="YT5" t="s">
        <v>1254</v>
      </c>
      <c r="YU5" t="s">
        <v>1254</v>
      </c>
      <c r="YV5" t="s">
        <v>1255</v>
      </c>
      <c r="YW5" t="s">
        <v>1255</v>
      </c>
      <c r="YX5" t="s">
        <v>1255</v>
      </c>
      <c r="YY5" t="s">
        <v>1255</v>
      </c>
      <c r="YZ5" t="s">
        <v>1255</v>
      </c>
      <c r="ZA5" t="s">
        <v>1255</v>
      </c>
      <c r="ZB5" t="s">
        <v>1255</v>
      </c>
      <c r="ZC5" t="s">
        <v>1255</v>
      </c>
      <c r="ZD5" t="s">
        <v>1255</v>
      </c>
      <c r="ZE5" t="s">
        <v>1255</v>
      </c>
      <c r="ZF5" t="s">
        <v>1256</v>
      </c>
      <c r="ZG5" t="s">
        <v>1256</v>
      </c>
      <c r="ZH5" t="s">
        <v>1256</v>
      </c>
      <c r="ZI5" t="s">
        <v>1256</v>
      </c>
      <c r="ZJ5" t="s">
        <v>1256</v>
      </c>
      <c r="ZK5" t="s">
        <v>1256</v>
      </c>
      <c r="ZL5" t="s">
        <v>1256</v>
      </c>
      <c r="ZM5" t="s">
        <v>1256</v>
      </c>
      <c r="ZN5" t="s">
        <v>1256</v>
      </c>
      <c r="ZO5" t="s">
        <v>1256</v>
      </c>
      <c r="ZP5" t="s">
        <v>1257</v>
      </c>
      <c r="ZQ5" t="s">
        <v>1257</v>
      </c>
      <c r="ZR5" t="s">
        <v>1257</v>
      </c>
      <c r="ZS5" t="s">
        <v>1257</v>
      </c>
      <c r="ZT5" t="s">
        <v>1257</v>
      </c>
      <c r="ZU5" t="s">
        <v>1257</v>
      </c>
      <c r="ZV5" t="s">
        <v>1257</v>
      </c>
      <c r="ZW5" t="s">
        <v>1257</v>
      </c>
      <c r="ZX5" t="s">
        <v>1257</v>
      </c>
      <c r="ZY5" t="s">
        <v>1257</v>
      </c>
      <c r="ZZ5" t="s">
        <v>1258</v>
      </c>
      <c r="AAA5" t="s">
        <v>1258</v>
      </c>
      <c r="AAB5" t="s">
        <v>1258</v>
      </c>
      <c r="AAC5" t="s">
        <v>1258</v>
      </c>
      <c r="AAD5" t="s">
        <v>1258</v>
      </c>
      <c r="AAE5" t="s">
        <v>1258</v>
      </c>
      <c r="AAF5" t="s">
        <v>1258</v>
      </c>
      <c r="AAG5" t="s">
        <v>1258</v>
      </c>
      <c r="AAH5" t="s">
        <v>1258</v>
      </c>
      <c r="AAI5" t="s">
        <v>1258</v>
      </c>
      <c r="AAJ5" t="s">
        <v>1259</v>
      </c>
      <c r="AAK5" t="s">
        <v>1259</v>
      </c>
      <c r="AAL5" t="s">
        <v>1259</v>
      </c>
      <c r="AAM5" t="s">
        <v>1259</v>
      </c>
      <c r="AAN5" t="s">
        <v>1259</v>
      </c>
      <c r="AAO5" t="s">
        <v>1259</v>
      </c>
      <c r="AAP5" t="s">
        <v>1259</v>
      </c>
      <c r="AAQ5" t="s">
        <v>1259</v>
      </c>
      <c r="AAR5" t="s">
        <v>1259</v>
      </c>
      <c r="AAS5" t="s">
        <v>1259</v>
      </c>
      <c r="AAT5" t="s">
        <v>1260</v>
      </c>
      <c r="AAU5" t="s">
        <v>1260</v>
      </c>
      <c r="AAV5" t="s">
        <v>1260</v>
      </c>
      <c r="AAW5" t="s">
        <v>1260</v>
      </c>
      <c r="AAX5" t="s">
        <v>1260</v>
      </c>
      <c r="AAY5" t="s">
        <v>1260</v>
      </c>
      <c r="AAZ5" t="s">
        <v>1260</v>
      </c>
      <c r="ABA5" t="s">
        <v>1260</v>
      </c>
      <c r="ABB5" t="s">
        <v>1260</v>
      </c>
      <c r="ABC5" t="s">
        <v>1260</v>
      </c>
      <c r="ABD5" t="s">
        <v>1261</v>
      </c>
      <c r="ABE5" t="s">
        <v>1261</v>
      </c>
      <c r="ABF5" t="s">
        <v>1261</v>
      </c>
      <c r="ABG5" t="s">
        <v>1261</v>
      </c>
      <c r="ABH5" t="s">
        <v>1261</v>
      </c>
      <c r="ABI5" t="s">
        <v>1261</v>
      </c>
      <c r="ABJ5" t="s">
        <v>1261</v>
      </c>
      <c r="ABK5" t="s">
        <v>1261</v>
      </c>
      <c r="ABL5" t="s">
        <v>1261</v>
      </c>
      <c r="ABM5" t="s">
        <v>1261</v>
      </c>
      <c r="ABN5" t="s">
        <v>1262</v>
      </c>
      <c r="ABO5" t="s">
        <v>1262</v>
      </c>
      <c r="ABP5" t="s">
        <v>1262</v>
      </c>
      <c r="ABQ5" t="s">
        <v>1262</v>
      </c>
      <c r="ABR5" t="s">
        <v>1262</v>
      </c>
      <c r="ABS5" t="s">
        <v>1262</v>
      </c>
      <c r="ABT5" t="s">
        <v>1262</v>
      </c>
      <c r="ABU5" t="s">
        <v>1262</v>
      </c>
      <c r="ABV5" t="s">
        <v>1262</v>
      </c>
      <c r="ABW5" t="s">
        <v>1262</v>
      </c>
      <c r="ABX5" t="s">
        <v>1263</v>
      </c>
      <c r="ABY5" t="s">
        <v>1263</v>
      </c>
      <c r="ABZ5" t="s">
        <v>1263</v>
      </c>
      <c r="ACA5" t="s">
        <v>1263</v>
      </c>
      <c r="ACB5" t="s">
        <v>1263</v>
      </c>
      <c r="ACC5" t="s">
        <v>1263</v>
      </c>
      <c r="ACD5" t="s">
        <v>1263</v>
      </c>
      <c r="ACE5" t="s">
        <v>1263</v>
      </c>
      <c r="ACF5" t="s">
        <v>1263</v>
      </c>
      <c r="ACG5" t="s">
        <v>1263</v>
      </c>
      <c r="ACH5" t="s">
        <v>1264</v>
      </c>
      <c r="ACI5" t="s">
        <v>1264</v>
      </c>
      <c r="ACJ5" t="s">
        <v>1264</v>
      </c>
      <c r="ACK5" t="s">
        <v>1264</v>
      </c>
      <c r="ACL5" t="s">
        <v>1264</v>
      </c>
      <c r="ACM5" t="s">
        <v>1264</v>
      </c>
      <c r="ACN5" t="s">
        <v>1264</v>
      </c>
      <c r="ACO5" t="s">
        <v>1264</v>
      </c>
      <c r="ACP5" t="s">
        <v>1264</v>
      </c>
      <c r="ACQ5" t="s">
        <v>1264</v>
      </c>
      <c r="ACR5" t="s">
        <v>1265</v>
      </c>
      <c r="ACS5" t="s">
        <v>1265</v>
      </c>
      <c r="ACT5" t="s">
        <v>1265</v>
      </c>
      <c r="ACU5" t="s">
        <v>1265</v>
      </c>
      <c r="ACV5" t="s">
        <v>1265</v>
      </c>
      <c r="ACW5" t="s">
        <v>1265</v>
      </c>
      <c r="ACX5" t="s">
        <v>1265</v>
      </c>
      <c r="ACY5" t="s">
        <v>1265</v>
      </c>
      <c r="ACZ5" t="s">
        <v>1265</v>
      </c>
      <c r="ADA5" t="s">
        <v>1265</v>
      </c>
      <c r="ADB5" t="s">
        <v>1266</v>
      </c>
      <c r="ADC5" t="s">
        <v>1266</v>
      </c>
      <c r="ADD5" t="s">
        <v>1266</v>
      </c>
      <c r="ADE5" t="s">
        <v>1266</v>
      </c>
      <c r="ADF5" t="s">
        <v>1266</v>
      </c>
      <c r="ADG5" t="s">
        <v>1266</v>
      </c>
      <c r="ADH5" t="s">
        <v>1266</v>
      </c>
      <c r="ADI5" t="s">
        <v>1266</v>
      </c>
      <c r="ADJ5" t="s">
        <v>1266</v>
      </c>
      <c r="ADK5" t="s">
        <v>1266</v>
      </c>
      <c r="ADL5" t="s">
        <v>1267</v>
      </c>
      <c r="ADM5" t="s">
        <v>1267</v>
      </c>
      <c r="ADN5" t="s">
        <v>1267</v>
      </c>
      <c r="ADO5" t="s">
        <v>1267</v>
      </c>
      <c r="ADP5" t="s">
        <v>1267</v>
      </c>
      <c r="ADQ5" t="s">
        <v>1267</v>
      </c>
      <c r="ADR5" t="s">
        <v>1267</v>
      </c>
      <c r="ADS5" t="s">
        <v>1267</v>
      </c>
      <c r="ADT5" t="s">
        <v>1267</v>
      </c>
      <c r="ADU5" t="s">
        <v>1267</v>
      </c>
      <c r="ADV5" t="s">
        <v>1268</v>
      </c>
      <c r="ADW5" t="s">
        <v>1268</v>
      </c>
      <c r="ADX5" t="s">
        <v>1268</v>
      </c>
      <c r="ADY5" t="s">
        <v>1268</v>
      </c>
      <c r="ADZ5" t="s">
        <v>1268</v>
      </c>
      <c r="AEA5" t="s">
        <v>1268</v>
      </c>
      <c r="AEB5" t="s">
        <v>1268</v>
      </c>
      <c r="AEC5" t="s">
        <v>1268</v>
      </c>
      <c r="AED5" t="s">
        <v>1268</v>
      </c>
      <c r="AEE5" t="s">
        <v>1268</v>
      </c>
      <c r="AEF5" t="s">
        <v>1269</v>
      </c>
      <c r="AEG5" t="s">
        <v>1269</v>
      </c>
      <c r="AEH5" t="s">
        <v>1269</v>
      </c>
      <c r="AEI5" t="s">
        <v>1269</v>
      </c>
      <c r="AEJ5" t="s">
        <v>1269</v>
      </c>
      <c r="AEK5" t="s">
        <v>1269</v>
      </c>
      <c r="AEL5" t="s">
        <v>1269</v>
      </c>
      <c r="AEM5" t="s">
        <v>1269</v>
      </c>
      <c r="AEN5" t="s">
        <v>1269</v>
      </c>
      <c r="AEO5" t="s">
        <v>1269</v>
      </c>
      <c r="AEP5" t="s">
        <v>1270</v>
      </c>
      <c r="AEQ5" t="s">
        <v>1270</v>
      </c>
      <c r="AER5" t="s">
        <v>1270</v>
      </c>
      <c r="AES5" t="s">
        <v>1270</v>
      </c>
      <c r="AET5" t="s">
        <v>1270</v>
      </c>
      <c r="AEU5" t="s">
        <v>1270</v>
      </c>
      <c r="AEV5" t="s">
        <v>1270</v>
      </c>
      <c r="AEW5" t="s">
        <v>1270</v>
      </c>
      <c r="AEX5" t="s">
        <v>1270</v>
      </c>
      <c r="AEY5" t="s">
        <v>1270</v>
      </c>
      <c r="AEZ5" t="s">
        <v>1271</v>
      </c>
      <c r="AFA5" t="s">
        <v>1271</v>
      </c>
      <c r="AFB5" t="s">
        <v>1271</v>
      </c>
      <c r="AFC5" t="s">
        <v>1271</v>
      </c>
      <c r="AFD5" t="s">
        <v>1271</v>
      </c>
      <c r="AFE5" t="s">
        <v>1271</v>
      </c>
      <c r="AFF5" t="s">
        <v>1271</v>
      </c>
      <c r="AFG5" t="s">
        <v>1271</v>
      </c>
      <c r="AFH5" t="s">
        <v>1271</v>
      </c>
      <c r="AFI5" t="s">
        <v>1271</v>
      </c>
      <c r="AFJ5" t="s">
        <v>1272</v>
      </c>
      <c r="AFK5" t="s">
        <v>1272</v>
      </c>
      <c r="AFL5" t="s">
        <v>1272</v>
      </c>
      <c r="AFM5" t="s">
        <v>1272</v>
      </c>
      <c r="AFN5" t="s">
        <v>1272</v>
      </c>
      <c r="AFO5" t="s">
        <v>1272</v>
      </c>
      <c r="AFP5" t="s">
        <v>1272</v>
      </c>
      <c r="AFQ5" t="s">
        <v>1272</v>
      </c>
      <c r="AFR5" t="s">
        <v>1272</v>
      </c>
      <c r="AFS5" t="s">
        <v>1272</v>
      </c>
      <c r="AFT5" t="s">
        <v>1273</v>
      </c>
      <c r="AFU5" t="s">
        <v>1273</v>
      </c>
      <c r="AFV5" t="s">
        <v>1273</v>
      </c>
      <c r="AFW5" t="s">
        <v>1273</v>
      </c>
      <c r="AFX5" t="s">
        <v>1273</v>
      </c>
      <c r="AFY5" t="s">
        <v>1273</v>
      </c>
      <c r="AFZ5" t="s">
        <v>1273</v>
      </c>
      <c r="AGA5" t="s">
        <v>1273</v>
      </c>
      <c r="AGB5" t="s">
        <v>1273</v>
      </c>
      <c r="AGC5" t="s">
        <v>1273</v>
      </c>
      <c r="AGD5" t="s">
        <v>1274</v>
      </c>
      <c r="AGE5" t="s">
        <v>1274</v>
      </c>
      <c r="AGF5" t="s">
        <v>1274</v>
      </c>
      <c r="AGG5" t="s">
        <v>1274</v>
      </c>
      <c r="AGH5" t="s">
        <v>1274</v>
      </c>
      <c r="AGI5" t="s">
        <v>1274</v>
      </c>
      <c r="AGJ5" t="s">
        <v>1274</v>
      </c>
      <c r="AGK5" t="s">
        <v>1274</v>
      </c>
      <c r="AGL5" t="s">
        <v>1274</v>
      </c>
      <c r="AGM5" t="s">
        <v>1274</v>
      </c>
      <c r="AGN5" t="s">
        <v>1275</v>
      </c>
      <c r="AGO5" t="s">
        <v>1275</v>
      </c>
      <c r="AGP5" t="s">
        <v>1275</v>
      </c>
      <c r="AGQ5" t="s">
        <v>1275</v>
      </c>
      <c r="AGR5" t="s">
        <v>1275</v>
      </c>
      <c r="AGS5" t="s">
        <v>1275</v>
      </c>
      <c r="AGT5" t="s">
        <v>1275</v>
      </c>
      <c r="AGU5" t="s">
        <v>1275</v>
      </c>
      <c r="AGV5" t="s">
        <v>1275</v>
      </c>
      <c r="AGW5" t="s">
        <v>1275</v>
      </c>
      <c r="AGX5" t="s">
        <v>1276</v>
      </c>
      <c r="AGY5" t="s">
        <v>1276</v>
      </c>
      <c r="AGZ5" t="s">
        <v>1276</v>
      </c>
      <c r="AHA5" t="s">
        <v>1276</v>
      </c>
      <c r="AHB5" t="s">
        <v>1276</v>
      </c>
      <c r="AHC5" t="s">
        <v>1276</v>
      </c>
      <c r="AHD5" t="s">
        <v>1276</v>
      </c>
      <c r="AHE5" t="s">
        <v>1276</v>
      </c>
      <c r="AHF5" t="s">
        <v>1276</v>
      </c>
      <c r="AHG5" t="s">
        <v>1276</v>
      </c>
      <c r="AHH5" t="s">
        <v>1277</v>
      </c>
      <c r="AHI5" t="s">
        <v>1277</v>
      </c>
      <c r="AHJ5" t="s">
        <v>1277</v>
      </c>
      <c r="AHK5" t="s">
        <v>1277</v>
      </c>
      <c r="AHL5" t="s">
        <v>1277</v>
      </c>
      <c r="AHM5" t="s">
        <v>1277</v>
      </c>
      <c r="AHN5" t="s">
        <v>1277</v>
      </c>
      <c r="AHO5" t="s">
        <v>1277</v>
      </c>
      <c r="AHP5" t="s">
        <v>1277</v>
      </c>
      <c r="AHQ5" t="s">
        <v>1277</v>
      </c>
      <c r="AHR5" t="s">
        <v>1278</v>
      </c>
      <c r="AHS5" t="s">
        <v>1278</v>
      </c>
      <c r="AHT5" t="s">
        <v>1278</v>
      </c>
      <c r="AHU5" t="s">
        <v>1278</v>
      </c>
      <c r="AHV5" t="s">
        <v>1278</v>
      </c>
      <c r="AHW5" t="s">
        <v>1278</v>
      </c>
      <c r="AHX5" t="s">
        <v>1278</v>
      </c>
      <c r="AHY5" t="s">
        <v>1278</v>
      </c>
      <c r="AHZ5" t="s">
        <v>1278</v>
      </c>
      <c r="AIA5" t="s">
        <v>1278</v>
      </c>
      <c r="AIB5" t="s">
        <v>1279</v>
      </c>
      <c r="AIC5" t="s">
        <v>1279</v>
      </c>
      <c r="AID5" t="s">
        <v>1279</v>
      </c>
      <c r="AIE5" t="s">
        <v>1279</v>
      </c>
      <c r="AIF5" t="s">
        <v>1279</v>
      </c>
      <c r="AIG5" t="s">
        <v>1279</v>
      </c>
      <c r="AIH5" t="s">
        <v>1279</v>
      </c>
      <c r="AII5" t="s">
        <v>1279</v>
      </c>
      <c r="AIJ5" t="s">
        <v>1279</v>
      </c>
      <c r="AIK5" t="s">
        <v>1279</v>
      </c>
      <c r="AIL5" t="s">
        <v>1280</v>
      </c>
      <c r="AIM5" t="s">
        <v>1280</v>
      </c>
      <c r="AIN5" t="s">
        <v>1280</v>
      </c>
      <c r="AIO5" t="s">
        <v>1280</v>
      </c>
      <c r="AIP5" t="s">
        <v>1280</v>
      </c>
      <c r="AIQ5" t="s">
        <v>1280</v>
      </c>
      <c r="AIR5" t="s">
        <v>1280</v>
      </c>
      <c r="AIS5" t="s">
        <v>1280</v>
      </c>
      <c r="AIT5" t="s">
        <v>1280</v>
      </c>
      <c r="AIU5" t="s">
        <v>1280</v>
      </c>
      <c r="AIV5" t="s">
        <v>1281</v>
      </c>
      <c r="AIW5" t="s">
        <v>1281</v>
      </c>
      <c r="AIX5" t="s">
        <v>1281</v>
      </c>
      <c r="AIY5" t="s">
        <v>1281</v>
      </c>
      <c r="AIZ5" t="s">
        <v>1281</v>
      </c>
      <c r="AJA5" t="s">
        <v>1281</v>
      </c>
      <c r="AJB5" t="s">
        <v>1281</v>
      </c>
      <c r="AJC5" t="s">
        <v>1281</v>
      </c>
      <c r="AJD5" t="s">
        <v>1281</v>
      </c>
      <c r="AJE5" t="s">
        <v>1281</v>
      </c>
      <c r="AJF5" t="s">
        <v>1282</v>
      </c>
      <c r="AJG5" t="s">
        <v>1282</v>
      </c>
      <c r="AJH5" t="s">
        <v>1282</v>
      </c>
      <c r="AJI5" t="s">
        <v>1282</v>
      </c>
      <c r="AJJ5" t="s">
        <v>1282</v>
      </c>
      <c r="AJK5" t="s">
        <v>1282</v>
      </c>
      <c r="AJL5" t="s">
        <v>1282</v>
      </c>
      <c r="AJM5" t="s">
        <v>1282</v>
      </c>
      <c r="AJN5" t="s">
        <v>1282</v>
      </c>
      <c r="AJO5" t="s">
        <v>1282</v>
      </c>
      <c r="AJP5" t="s">
        <v>1283</v>
      </c>
      <c r="AJQ5" t="s">
        <v>1283</v>
      </c>
      <c r="AJR5" t="s">
        <v>1283</v>
      </c>
      <c r="AJS5" t="s">
        <v>1283</v>
      </c>
      <c r="AJT5" t="s">
        <v>1283</v>
      </c>
      <c r="AJU5" t="s">
        <v>1283</v>
      </c>
      <c r="AJV5" t="s">
        <v>1283</v>
      </c>
      <c r="AJW5" t="s">
        <v>1283</v>
      </c>
      <c r="AJX5" t="s">
        <v>1283</v>
      </c>
      <c r="AJY5" t="s">
        <v>1283</v>
      </c>
      <c r="AJZ5" t="s">
        <v>1284</v>
      </c>
      <c r="AKA5" t="s">
        <v>1284</v>
      </c>
      <c r="AKB5" t="s">
        <v>1284</v>
      </c>
      <c r="AKC5" t="s">
        <v>1284</v>
      </c>
      <c r="AKD5" t="s">
        <v>1284</v>
      </c>
      <c r="AKE5" t="s">
        <v>1284</v>
      </c>
      <c r="AKF5" t="s">
        <v>1284</v>
      </c>
      <c r="AKG5" t="s">
        <v>1284</v>
      </c>
      <c r="AKH5" t="s">
        <v>1284</v>
      </c>
      <c r="AKI5" t="s">
        <v>1284</v>
      </c>
      <c r="AKJ5" t="s">
        <v>1285</v>
      </c>
      <c r="AKK5" t="s">
        <v>1285</v>
      </c>
      <c r="AKL5" t="s">
        <v>1285</v>
      </c>
      <c r="AKM5" t="s">
        <v>1285</v>
      </c>
      <c r="AKN5" t="s">
        <v>1285</v>
      </c>
      <c r="AKO5" t="s">
        <v>1285</v>
      </c>
      <c r="AKP5" t="s">
        <v>1285</v>
      </c>
      <c r="AKQ5" t="s">
        <v>1285</v>
      </c>
      <c r="AKR5" t="s">
        <v>1285</v>
      </c>
      <c r="AKS5" t="s">
        <v>1285</v>
      </c>
      <c r="AKT5" t="s">
        <v>1286</v>
      </c>
      <c r="AKU5" t="s">
        <v>1286</v>
      </c>
      <c r="AKV5" t="s">
        <v>1286</v>
      </c>
      <c r="AKW5" t="s">
        <v>1286</v>
      </c>
      <c r="AKX5" t="s">
        <v>1286</v>
      </c>
      <c r="AKY5" t="s">
        <v>1286</v>
      </c>
      <c r="AKZ5" t="s">
        <v>1286</v>
      </c>
      <c r="ALA5" t="s">
        <v>1286</v>
      </c>
      <c r="ALB5" t="s">
        <v>1286</v>
      </c>
      <c r="ALC5" t="s">
        <v>1286</v>
      </c>
      <c r="ALD5" t="s">
        <v>1287</v>
      </c>
      <c r="ALE5" t="s">
        <v>1287</v>
      </c>
      <c r="ALF5" t="s">
        <v>1287</v>
      </c>
      <c r="ALG5" t="s">
        <v>1287</v>
      </c>
      <c r="ALH5" t="s">
        <v>1287</v>
      </c>
      <c r="ALI5" t="s">
        <v>1287</v>
      </c>
      <c r="ALJ5" t="s">
        <v>1287</v>
      </c>
      <c r="ALK5" t="s">
        <v>1287</v>
      </c>
      <c r="ALL5" t="s">
        <v>1287</v>
      </c>
    </row>
    <row r="6" spans="1:1000" x14ac:dyDescent="0.3">
      <c r="A6" t="s">
        <v>1096</v>
      </c>
      <c r="B6" t="s">
        <v>1096</v>
      </c>
      <c r="C6" t="s">
        <v>1096</v>
      </c>
      <c r="D6" t="s">
        <v>1096</v>
      </c>
      <c r="E6" t="s">
        <v>1096</v>
      </c>
      <c r="F6" t="s">
        <v>1096</v>
      </c>
      <c r="G6" t="s">
        <v>1096</v>
      </c>
      <c r="H6" t="s">
        <v>1096</v>
      </c>
      <c r="I6" t="s">
        <v>1096</v>
      </c>
      <c r="J6" t="s">
        <v>1096</v>
      </c>
      <c r="K6" t="s">
        <v>1096</v>
      </c>
      <c r="L6" t="s">
        <v>1096</v>
      </c>
      <c r="M6" t="s">
        <v>1096</v>
      </c>
      <c r="N6" t="s">
        <v>1096</v>
      </c>
      <c r="O6" t="s">
        <v>1096</v>
      </c>
      <c r="P6" t="s">
        <v>1096</v>
      </c>
      <c r="Q6" t="s">
        <v>1096</v>
      </c>
      <c r="R6" t="s">
        <v>1096</v>
      </c>
      <c r="S6" t="s">
        <v>1096</v>
      </c>
      <c r="T6" t="s">
        <v>1096</v>
      </c>
      <c r="U6" t="s">
        <v>1096</v>
      </c>
      <c r="V6" t="s">
        <v>1096</v>
      </c>
      <c r="W6" t="s">
        <v>1096</v>
      </c>
      <c r="X6" t="s">
        <v>1096</v>
      </c>
      <c r="Y6" t="s">
        <v>1096</v>
      </c>
      <c r="Z6" t="s">
        <v>1096</v>
      </c>
      <c r="AA6" t="s">
        <v>1096</v>
      </c>
      <c r="AB6" t="s">
        <v>1096</v>
      </c>
      <c r="AC6" t="s">
        <v>1096</v>
      </c>
      <c r="AD6" t="s">
        <v>1096</v>
      </c>
      <c r="AE6" t="s">
        <v>1096</v>
      </c>
      <c r="AF6" t="s">
        <v>1096</v>
      </c>
      <c r="AG6" t="s">
        <v>1096</v>
      </c>
      <c r="AH6" t="s">
        <v>1096</v>
      </c>
      <c r="AI6" t="s">
        <v>1096</v>
      </c>
      <c r="AJ6" t="s">
        <v>1096</v>
      </c>
      <c r="AK6" t="s">
        <v>1096</v>
      </c>
      <c r="AL6" t="s">
        <v>1096</v>
      </c>
      <c r="AM6" t="s">
        <v>1096</v>
      </c>
      <c r="AN6" t="s">
        <v>1096</v>
      </c>
      <c r="AO6" t="s">
        <v>1096</v>
      </c>
      <c r="AP6" t="s">
        <v>1096</v>
      </c>
      <c r="AQ6" t="s">
        <v>1096</v>
      </c>
      <c r="AR6" t="s">
        <v>1096</v>
      </c>
      <c r="AS6" t="s">
        <v>1096</v>
      </c>
      <c r="AT6" t="s">
        <v>1096</v>
      </c>
      <c r="AU6" t="s">
        <v>1096</v>
      </c>
      <c r="AV6" t="s">
        <v>1096</v>
      </c>
      <c r="AW6" t="s">
        <v>1096</v>
      </c>
      <c r="AX6" t="s">
        <v>1096</v>
      </c>
      <c r="AY6" t="s">
        <v>1096</v>
      </c>
      <c r="AZ6" t="s">
        <v>1097</v>
      </c>
      <c r="BA6" t="s">
        <v>1097</v>
      </c>
      <c r="BB6" t="s">
        <v>1097</v>
      </c>
      <c r="BC6" t="s">
        <v>1097</v>
      </c>
      <c r="BD6" t="s">
        <v>1097</v>
      </c>
      <c r="BE6" t="s">
        <v>1097</v>
      </c>
      <c r="BF6" t="s">
        <v>1097</v>
      </c>
      <c r="BG6" t="s">
        <v>1097</v>
      </c>
      <c r="BH6" t="s">
        <v>1097</v>
      </c>
      <c r="BI6" t="s">
        <v>1097</v>
      </c>
      <c r="BJ6" t="s">
        <v>1098</v>
      </c>
      <c r="BK6" t="s">
        <v>1098</v>
      </c>
      <c r="BL6" t="s">
        <v>1098</v>
      </c>
      <c r="BM6" t="s">
        <v>1098</v>
      </c>
      <c r="BN6" t="s">
        <v>1098</v>
      </c>
      <c r="BO6" t="s">
        <v>1098</v>
      </c>
      <c r="BP6" t="s">
        <v>1098</v>
      </c>
      <c r="BQ6" t="s">
        <v>1098</v>
      </c>
      <c r="BR6" t="s">
        <v>1098</v>
      </c>
      <c r="BS6" t="s">
        <v>1098</v>
      </c>
      <c r="BT6" t="s">
        <v>1099</v>
      </c>
      <c r="BU6" t="s">
        <v>1099</v>
      </c>
      <c r="BV6" t="s">
        <v>1099</v>
      </c>
      <c r="BW6" t="s">
        <v>1099</v>
      </c>
      <c r="BX6" t="s">
        <v>1099</v>
      </c>
      <c r="BY6" t="s">
        <v>1099</v>
      </c>
      <c r="BZ6" t="s">
        <v>1099</v>
      </c>
      <c r="CA6" t="s">
        <v>1099</v>
      </c>
      <c r="CB6" t="s">
        <v>1099</v>
      </c>
      <c r="CC6" t="s">
        <v>1099</v>
      </c>
      <c r="CD6" t="s">
        <v>1100</v>
      </c>
      <c r="CE6" t="s">
        <v>1100</v>
      </c>
      <c r="CF6" t="s">
        <v>1100</v>
      </c>
      <c r="CG6" t="s">
        <v>1100</v>
      </c>
      <c r="CH6" t="s">
        <v>1100</v>
      </c>
      <c r="CI6" t="s">
        <v>1100</v>
      </c>
      <c r="CJ6" t="s">
        <v>1100</v>
      </c>
      <c r="CK6" t="s">
        <v>1100</v>
      </c>
      <c r="CL6" t="s">
        <v>1100</v>
      </c>
      <c r="CM6" t="s">
        <v>1100</v>
      </c>
      <c r="CN6" t="s">
        <v>1101</v>
      </c>
      <c r="CO6" t="s">
        <v>1101</v>
      </c>
      <c r="CP6" t="s">
        <v>1101</v>
      </c>
      <c r="CQ6" t="s">
        <v>1101</v>
      </c>
      <c r="CR6" t="s">
        <v>1101</v>
      </c>
      <c r="CS6" t="s">
        <v>1101</v>
      </c>
      <c r="CT6" t="s">
        <v>1101</v>
      </c>
      <c r="CU6" t="s">
        <v>1101</v>
      </c>
      <c r="CV6" t="s">
        <v>1101</v>
      </c>
      <c r="CW6" t="s">
        <v>1101</v>
      </c>
      <c r="CX6" t="s">
        <v>1102</v>
      </c>
      <c r="CY6" t="s">
        <v>1102</v>
      </c>
      <c r="CZ6" t="s">
        <v>1102</v>
      </c>
      <c r="DA6" t="s">
        <v>1102</v>
      </c>
      <c r="DB6" t="s">
        <v>1102</v>
      </c>
      <c r="DC6" t="s">
        <v>1102</v>
      </c>
      <c r="DD6" t="s">
        <v>1102</v>
      </c>
      <c r="DE6" t="s">
        <v>1102</v>
      </c>
      <c r="DF6" t="s">
        <v>1102</v>
      </c>
      <c r="DG6" t="s">
        <v>1102</v>
      </c>
      <c r="DH6" t="s">
        <v>1103</v>
      </c>
      <c r="DI6" t="s">
        <v>1103</v>
      </c>
      <c r="DJ6" t="s">
        <v>1103</v>
      </c>
      <c r="DK6" t="s">
        <v>1103</v>
      </c>
      <c r="DL6" t="s">
        <v>1103</v>
      </c>
      <c r="DM6" t="s">
        <v>1103</v>
      </c>
      <c r="DN6" t="s">
        <v>1103</v>
      </c>
      <c r="DO6" t="s">
        <v>1103</v>
      </c>
      <c r="DP6" t="s">
        <v>1103</v>
      </c>
      <c r="DQ6" t="s">
        <v>1103</v>
      </c>
      <c r="DR6" t="s">
        <v>1104</v>
      </c>
      <c r="DS6" t="s">
        <v>1104</v>
      </c>
      <c r="DT6" t="s">
        <v>1104</v>
      </c>
      <c r="DU6" t="s">
        <v>1104</v>
      </c>
      <c r="DV6" t="s">
        <v>1104</v>
      </c>
      <c r="DW6" t="s">
        <v>1104</v>
      </c>
      <c r="DX6" t="s">
        <v>1104</v>
      </c>
      <c r="DY6" t="s">
        <v>1104</v>
      </c>
      <c r="DZ6" t="s">
        <v>1104</v>
      </c>
      <c r="EA6" t="s">
        <v>1104</v>
      </c>
      <c r="EB6" t="s">
        <v>1105</v>
      </c>
      <c r="EC6" t="s">
        <v>1105</v>
      </c>
      <c r="ED6" t="s">
        <v>1105</v>
      </c>
      <c r="EE6" t="s">
        <v>1105</v>
      </c>
      <c r="EF6" t="s">
        <v>1105</v>
      </c>
      <c r="EG6" t="s">
        <v>1105</v>
      </c>
      <c r="EH6" t="s">
        <v>1105</v>
      </c>
      <c r="EI6" t="s">
        <v>1105</v>
      </c>
      <c r="EJ6" t="s">
        <v>1105</v>
      </c>
      <c r="EK6" t="s">
        <v>1105</v>
      </c>
      <c r="EL6" t="s">
        <v>1106</v>
      </c>
      <c r="EM6" t="s">
        <v>1106</v>
      </c>
      <c r="EN6" t="s">
        <v>1106</v>
      </c>
      <c r="EO6" t="s">
        <v>1106</v>
      </c>
      <c r="EP6" t="s">
        <v>1106</v>
      </c>
      <c r="EQ6" t="s">
        <v>1106</v>
      </c>
      <c r="ER6" t="s">
        <v>1106</v>
      </c>
      <c r="ES6" t="s">
        <v>1106</v>
      </c>
      <c r="ET6" t="s">
        <v>1106</v>
      </c>
      <c r="EU6" t="s">
        <v>1106</v>
      </c>
      <c r="EV6" t="s">
        <v>1107</v>
      </c>
      <c r="EW6" t="s">
        <v>1107</v>
      </c>
      <c r="EX6" t="s">
        <v>1107</v>
      </c>
      <c r="EY6" t="s">
        <v>1107</v>
      </c>
      <c r="EZ6" t="s">
        <v>1107</v>
      </c>
      <c r="FA6" t="s">
        <v>1107</v>
      </c>
      <c r="FB6" t="s">
        <v>1107</v>
      </c>
      <c r="FC6" t="s">
        <v>1107</v>
      </c>
      <c r="FD6" t="s">
        <v>1107</v>
      </c>
      <c r="FE6" t="s">
        <v>1107</v>
      </c>
      <c r="FF6" t="s">
        <v>1108</v>
      </c>
      <c r="FG6" t="s">
        <v>1108</v>
      </c>
      <c r="FH6" t="s">
        <v>1108</v>
      </c>
      <c r="FI6" t="s">
        <v>1108</v>
      </c>
      <c r="FJ6" t="s">
        <v>1108</v>
      </c>
      <c r="FK6" t="s">
        <v>1108</v>
      </c>
      <c r="FL6" t="s">
        <v>1108</v>
      </c>
      <c r="FM6" t="s">
        <v>1108</v>
      </c>
      <c r="FN6" t="s">
        <v>1108</v>
      </c>
      <c r="FO6" t="s">
        <v>1108</v>
      </c>
      <c r="FP6" t="s">
        <v>1109</v>
      </c>
      <c r="FQ6" t="s">
        <v>1109</v>
      </c>
      <c r="FR6" t="s">
        <v>1109</v>
      </c>
      <c r="FS6" t="s">
        <v>1109</v>
      </c>
      <c r="FT6" t="s">
        <v>1109</v>
      </c>
      <c r="FU6" t="s">
        <v>1109</v>
      </c>
      <c r="FV6" t="s">
        <v>1109</v>
      </c>
      <c r="FW6" t="s">
        <v>1109</v>
      </c>
      <c r="FX6" t="s">
        <v>1109</v>
      </c>
      <c r="FY6" t="s">
        <v>1109</v>
      </c>
      <c r="FZ6" t="s">
        <v>1110</v>
      </c>
      <c r="GA6" t="s">
        <v>1110</v>
      </c>
      <c r="GB6" t="s">
        <v>1110</v>
      </c>
      <c r="GC6" t="s">
        <v>1110</v>
      </c>
      <c r="GD6" t="s">
        <v>1110</v>
      </c>
      <c r="GE6" t="s">
        <v>1110</v>
      </c>
      <c r="GF6" t="s">
        <v>1110</v>
      </c>
      <c r="GG6" t="s">
        <v>1110</v>
      </c>
      <c r="GH6" t="s">
        <v>1110</v>
      </c>
      <c r="GI6" t="s">
        <v>1110</v>
      </c>
      <c r="GJ6" t="s">
        <v>1111</v>
      </c>
      <c r="GK6" t="s">
        <v>1111</v>
      </c>
      <c r="GL6" t="s">
        <v>1111</v>
      </c>
      <c r="GM6" t="s">
        <v>1111</v>
      </c>
      <c r="GN6" t="s">
        <v>1111</v>
      </c>
      <c r="GO6" t="s">
        <v>1111</v>
      </c>
      <c r="GP6" t="s">
        <v>1111</v>
      </c>
      <c r="GQ6" t="s">
        <v>1111</v>
      </c>
      <c r="GR6" t="s">
        <v>1111</v>
      </c>
      <c r="GS6" t="s">
        <v>1111</v>
      </c>
      <c r="GT6" t="s">
        <v>1112</v>
      </c>
      <c r="GU6" t="s">
        <v>1112</v>
      </c>
      <c r="GV6" t="s">
        <v>1112</v>
      </c>
      <c r="GW6" t="s">
        <v>1112</v>
      </c>
      <c r="GX6" t="s">
        <v>1112</v>
      </c>
      <c r="GY6" t="s">
        <v>1112</v>
      </c>
      <c r="GZ6" t="s">
        <v>1112</v>
      </c>
      <c r="HA6" t="s">
        <v>1112</v>
      </c>
      <c r="HB6" t="s">
        <v>1112</v>
      </c>
      <c r="HC6" t="s">
        <v>1112</v>
      </c>
      <c r="HD6" t="s">
        <v>1113</v>
      </c>
      <c r="HE6" t="s">
        <v>1113</v>
      </c>
      <c r="HF6" t="s">
        <v>1113</v>
      </c>
      <c r="HG6" t="s">
        <v>1113</v>
      </c>
      <c r="HH6" t="s">
        <v>1113</v>
      </c>
      <c r="HI6" t="s">
        <v>1113</v>
      </c>
      <c r="HJ6" t="s">
        <v>1113</v>
      </c>
      <c r="HK6" t="s">
        <v>1113</v>
      </c>
      <c r="HL6" t="s">
        <v>1113</v>
      </c>
      <c r="HM6" t="s">
        <v>1113</v>
      </c>
      <c r="HN6" t="s">
        <v>1114</v>
      </c>
      <c r="HO6" t="s">
        <v>1114</v>
      </c>
      <c r="HP6" t="s">
        <v>1114</v>
      </c>
      <c r="HQ6" t="s">
        <v>1114</v>
      </c>
      <c r="HR6" t="s">
        <v>1114</v>
      </c>
      <c r="HS6" t="s">
        <v>1114</v>
      </c>
      <c r="HT6" t="s">
        <v>1114</v>
      </c>
      <c r="HU6" t="s">
        <v>1114</v>
      </c>
      <c r="HV6" t="s">
        <v>1114</v>
      </c>
      <c r="HW6" t="s">
        <v>1114</v>
      </c>
      <c r="HX6" t="s">
        <v>1115</v>
      </c>
      <c r="HY6" t="s">
        <v>1115</v>
      </c>
      <c r="HZ6" t="s">
        <v>1115</v>
      </c>
      <c r="IA6" t="s">
        <v>1115</v>
      </c>
      <c r="IB6" t="s">
        <v>1115</v>
      </c>
      <c r="IC6" t="s">
        <v>1115</v>
      </c>
      <c r="ID6" t="s">
        <v>1115</v>
      </c>
      <c r="IE6" t="s">
        <v>1115</v>
      </c>
      <c r="IF6" t="s">
        <v>1115</v>
      </c>
      <c r="IG6" t="s">
        <v>1115</v>
      </c>
      <c r="IH6" t="s">
        <v>1116</v>
      </c>
      <c r="II6" t="s">
        <v>1116</v>
      </c>
      <c r="IJ6" t="s">
        <v>1116</v>
      </c>
      <c r="IK6" t="s">
        <v>1116</v>
      </c>
      <c r="IL6" t="s">
        <v>1116</v>
      </c>
      <c r="IM6" t="s">
        <v>1116</v>
      </c>
      <c r="IN6" t="s">
        <v>1116</v>
      </c>
      <c r="IO6" t="s">
        <v>1116</v>
      </c>
      <c r="IP6" t="s">
        <v>1116</v>
      </c>
      <c r="IQ6" t="s">
        <v>1116</v>
      </c>
      <c r="IR6" t="s">
        <v>1117</v>
      </c>
      <c r="IS6" t="s">
        <v>1117</v>
      </c>
      <c r="IT6" t="s">
        <v>1117</v>
      </c>
      <c r="IU6" t="s">
        <v>1117</v>
      </c>
      <c r="IV6" t="s">
        <v>1117</v>
      </c>
      <c r="IW6" t="s">
        <v>1117</v>
      </c>
      <c r="IX6" t="s">
        <v>1117</v>
      </c>
      <c r="IY6" t="s">
        <v>1117</v>
      </c>
      <c r="IZ6" t="s">
        <v>1117</v>
      </c>
      <c r="JA6" t="s">
        <v>1117</v>
      </c>
      <c r="JB6" t="s">
        <v>1118</v>
      </c>
      <c r="JC6" t="s">
        <v>1118</v>
      </c>
      <c r="JD6" t="s">
        <v>1118</v>
      </c>
      <c r="JE6" t="s">
        <v>1118</v>
      </c>
      <c r="JF6" t="s">
        <v>1118</v>
      </c>
      <c r="JG6" t="s">
        <v>1118</v>
      </c>
      <c r="JH6" t="s">
        <v>1118</v>
      </c>
      <c r="JI6" t="s">
        <v>1118</v>
      </c>
      <c r="JJ6" t="s">
        <v>1118</v>
      </c>
      <c r="JK6" t="s">
        <v>1118</v>
      </c>
      <c r="JL6" t="s">
        <v>1119</v>
      </c>
      <c r="JM6" t="s">
        <v>1119</v>
      </c>
      <c r="JN6" t="s">
        <v>1119</v>
      </c>
      <c r="JO6" t="s">
        <v>1119</v>
      </c>
      <c r="JP6" t="s">
        <v>1119</v>
      </c>
      <c r="JQ6" t="s">
        <v>1119</v>
      </c>
      <c r="JR6" t="s">
        <v>1119</v>
      </c>
      <c r="JS6" t="s">
        <v>1119</v>
      </c>
      <c r="JT6" t="s">
        <v>1119</v>
      </c>
      <c r="JU6" t="s">
        <v>1119</v>
      </c>
      <c r="JV6" t="s">
        <v>1120</v>
      </c>
      <c r="JW6" t="s">
        <v>1120</v>
      </c>
      <c r="JX6" t="s">
        <v>1120</v>
      </c>
      <c r="JY6" t="s">
        <v>1120</v>
      </c>
      <c r="JZ6" t="s">
        <v>1120</v>
      </c>
      <c r="KA6" t="s">
        <v>1120</v>
      </c>
      <c r="KB6" t="s">
        <v>1120</v>
      </c>
      <c r="KC6" t="s">
        <v>1120</v>
      </c>
      <c r="KD6" t="s">
        <v>1120</v>
      </c>
      <c r="KE6" t="s">
        <v>1120</v>
      </c>
      <c r="KF6" t="s">
        <v>1121</v>
      </c>
      <c r="KG6" t="s">
        <v>1121</v>
      </c>
      <c r="KH6" t="s">
        <v>1121</v>
      </c>
      <c r="KI6" t="s">
        <v>1121</v>
      </c>
      <c r="KJ6" t="s">
        <v>1121</v>
      </c>
      <c r="KK6" t="s">
        <v>1121</v>
      </c>
      <c r="KL6" t="s">
        <v>1121</v>
      </c>
      <c r="KM6" t="s">
        <v>1121</v>
      </c>
      <c r="KN6" t="s">
        <v>1121</v>
      </c>
      <c r="KO6" t="s">
        <v>1121</v>
      </c>
      <c r="KP6" t="s">
        <v>1122</v>
      </c>
      <c r="KQ6" t="s">
        <v>1122</v>
      </c>
      <c r="KR6" t="s">
        <v>1122</v>
      </c>
      <c r="KS6" t="s">
        <v>1122</v>
      </c>
      <c r="KT6" t="s">
        <v>1122</v>
      </c>
      <c r="KU6" t="s">
        <v>1122</v>
      </c>
      <c r="KV6" t="s">
        <v>1122</v>
      </c>
      <c r="KW6" t="s">
        <v>1122</v>
      </c>
      <c r="KX6" t="s">
        <v>1122</v>
      </c>
      <c r="KY6" t="s">
        <v>1122</v>
      </c>
      <c r="KZ6" t="s">
        <v>1123</v>
      </c>
      <c r="LA6" t="s">
        <v>1123</v>
      </c>
      <c r="LB6" t="s">
        <v>1123</v>
      </c>
      <c r="LC6" t="s">
        <v>1123</v>
      </c>
      <c r="LD6" t="s">
        <v>1123</v>
      </c>
      <c r="LE6" t="s">
        <v>1123</v>
      </c>
      <c r="LF6" t="s">
        <v>1123</v>
      </c>
      <c r="LG6" t="s">
        <v>1123</v>
      </c>
      <c r="LH6" t="s">
        <v>1123</v>
      </c>
      <c r="LI6" t="s">
        <v>1123</v>
      </c>
      <c r="LJ6" t="s">
        <v>1124</v>
      </c>
      <c r="LK6" t="s">
        <v>1124</v>
      </c>
      <c r="LL6" t="s">
        <v>1124</v>
      </c>
      <c r="LM6" t="s">
        <v>1124</v>
      </c>
      <c r="LN6" t="s">
        <v>1124</v>
      </c>
      <c r="LO6" t="s">
        <v>1124</v>
      </c>
      <c r="LP6" t="s">
        <v>1124</v>
      </c>
      <c r="LQ6" t="s">
        <v>1124</v>
      </c>
      <c r="LR6" t="s">
        <v>1124</v>
      </c>
      <c r="LS6" t="s">
        <v>1124</v>
      </c>
      <c r="LT6" t="s">
        <v>1125</v>
      </c>
      <c r="LU6" t="s">
        <v>1125</v>
      </c>
      <c r="LV6" t="s">
        <v>1125</v>
      </c>
      <c r="LW6" t="s">
        <v>1125</v>
      </c>
      <c r="LX6" t="s">
        <v>1125</v>
      </c>
      <c r="LY6" t="s">
        <v>1125</v>
      </c>
      <c r="LZ6" t="s">
        <v>1125</v>
      </c>
      <c r="MA6" t="s">
        <v>1125</v>
      </c>
      <c r="MB6" t="s">
        <v>1125</v>
      </c>
      <c r="MC6" t="s">
        <v>1125</v>
      </c>
      <c r="MD6" t="s">
        <v>1126</v>
      </c>
      <c r="ME6" t="s">
        <v>1126</v>
      </c>
      <c r="MF6" t="s">
        <v>1126</v>
      </c>
      <c r="MG6" t="s">
        <v>1126</v>
      </c>
      <c r="MH6" t="s">
        <v>1126</v>
      </c>
      <c r="MI6" t="s">
        <v>1126</v>
      </c>
      <c r="MJ6" t="s">
        <v>1126</v>
      </c>
      <c r="MK6" t="s">
        <v>1126</v>
      </c>
      <c r="ML6" t="s">
        <v>1126</v>
      </c>
      <c r="MM6" t="s">
        <v>1126</v>
      </c>
      <c r="MN6" t="s">
        <v>1127</v>
      </c>
      <c r="MO6" t="s">
        <v>1127</v>
      </c>
      <c r="MP6" t="s">
        <v>1127</v>
      </c>
      <c r="MQ6" t="s">
        <v>1127</v>
      </c>
      <c r="MR6" t="s">
        <v>1127</v>
      </c>
      <c r="MS6" t="s">
        <v>1127</v>
      </c>
      <c r="MT6" t="s">
        <v>1127</v>
      </c>
      <c r="MU6" t="s">
        <v>1127</v>
      </c>
      <c r="MV6" t="s">
        <v>1127</v>
      </c>
      <c r="MW6" t="s">
        <v>1127</v>
      </c>
      <c r="MX6" t="s">
        <v>1128</v>
      </c>
      <c r="MY6" t="s">
        <v>1128</v>
      </c>
      <c r="MZ6" t="s">
        <v>1128</v>
      </c>
      <c r="NA6" t="s">
        <v>1128</v>
      </c>
      <c r="NB6" t="s">
        <v>1128</v>
      </c>
      <c r="NC6" t="s">
        <v>1128</v>
      </c>
      <c r="ND6" t="s">
        <v>1128</v>
      </c>
      <c r="NE6" t="s">
        <v>1128</v>
      </c>
      <c r="NF6" t="s">
        <v>1128</v>
      </c>
      <c r="NG6" t="s">
        <v>1128</v>
      </c>
      <c r="NH6" t="s">
        <v>1129</v>
      </c>
      <c r="NI6" t="s">
        <v>1129</v>
      </c>
      <c r="NJ6" t="s">
        <v>1129</v>
      </c>
      <c r="NK6" t="s">
        <v>1129</v>
      </c>
      <c r="NL6" t="s">
        <v>1129</v>
      </c>
      <c r="NM6" t="s">
        <v>1129</v>
      </c>
      <c r="NN6" t="s">
        <v>1129</v>
      </c>
      <c r="NO6" t="s">
        <v>1129</v>
      </c>
      <c r="NP6" t="s">
        <v>1129</v>
      </c>
      <c r="NQ6" t="s">
        <v>1129</v>
      </c>
      <c r="NR6" t="s">
        <v>1130</v>
      </c>
      <c r="NS6" t="s">
        <v>1130</v>
      </c>
      <c r="NT6" t="s">
        <v>1130</v>
      </c>
      <c r="NU6" t="s">
        <v>1130</v>
      </c>
      <c r="NV6" t="s">
        <v>1130</v>
      </c>
      <c r="NW6" t="s">
        <v>1130</v>
      </c>
      <c r="NX6" t="s">
        <v>1130</v>
      </c>
      <c r="NY6" t="s">
        <v>1130</v>
      </c>
      <c r="NZ6" t="s">
        <v>1130</v>
      </c>
      <c r="OA6" t="s">
        <v>1130</v>
      </c>
      <c r="OB6" t="s">
        <v>1131</v>
      </c>
      <c r="OC6" t="s">
        <v>1131</v>
      </c>
      <c r="OD6" t="s">
        <v>1131</v>
      </c>
      <c r="OE6" t="s">
        <v>1131</v>
      </c>
      <c r="OF6" t="s">
        <v>1131</v>
      </c>
      <c r="OG6" t="s">
        <v>1131</v>
      </c>
      <c r="OH6" t="s">
        <v>1131</v>
      </c>
      <c r="OI6" t="s">
        <v>1131</v>
      </c>
      <c r="OJ6" t="s">
        <v>1131</v>
      </c>
      <c r="OK6" t="s">
        <v>1131</v>
      </c>
      <c r="OL6" t="s">
        <v>1132</v>
      </c>
      <c r="OM6" t="s">
        <v>1132</v>
      </c>
      <c r="ON6" t="s">
        <v>1132</v>
      </c>
      <c r="OO6" t="s">
        <v>1132</v>
      </c>
      <c r="OP6" t="s">
        <v>1132</v>
      </c>
      <c r="OQ6" t="s">
        <v>1132</v>
      </c>
      <c r="OR6" t="s">
        <v>1132</v>
      </c>
      <c r="OS6" t="s">
        <v>1132</v>
      </c>
      <c r="OT6" t="s">
        <v>1132</v>
      </c>
      <c r="OU6" t="s">
        <v>1132</v>
      </c>
      <c r="OV6" t="s">
        <v>1133</v>
      </c>
      <c r="OW6" t="s">
        <v>1133</v>
      </c>
      <c r="OX6" t="s">
        <v>1133</v>
      </c>
      <c r="OY6" t="s">
        <v>1133</v>
      </c>
      <c r="OZ6" t="s">
        <v>1133</v>
      </c>
      <c r="PA6" t="s">
        <v>1133</v>
      </c>
      <c r="PB6" t="s">
        <v>1133</v>
      </c>
      <c r="PC6" t="s">
        <v>1133</v>
      </c>
      <c r="PD6" t="s">
        <v>1133</v>
      </c>
      <c r="PE6" t="s">
        <v>1133</v>
      </c>
      <c r="PF6" t="s">
        <v>1134</v>
      </c>
      <c r="PG6" t="s">
        <v>1134</v>
      </c>
      <c r="PH6" t="s">
        <v>1134</v>
      </c>
      <c r="PI6" t="s">
        <v>1134</v>
      </c>
      <c r="PJ6" t="s">
        <v>1134</v>
      </c>
      <c r="PK6" t="s">
        <v>1134</v>
      </c>
      <c r="PL6" t="s">
        <v>1134</v>
      </c>
      <c r="PM6" t="s">
        <v>1134</v>
      </c>
      <c r="PN6" t="s">
        <v>1134</v>
      </c>
      <c r="PO6" t="s">
        <v>1134</v>
      </c>
      <c r="PP6" t="s">
        <v>1135</v>
      </c>
      <c r="PQ6" t="s">
        <v>1135</v>
      </c>
      <c r="PR6" t="s">
        <v>1135</v>
      </c>
      <c r="PS6" t="s">
        <v>1135</v>
      </c>
      <c r="PT6" t="s">
        <v>1135</v>
      </c>
      <c r="PU6" t="s">
        <v>1135</v>
      </c>
      <c r="PV6" t="s">
        <v>1135</v>
      </c>
      <c r="PW6" t="s">
        <v>1135</v>
      </c>
      <c r="PX6" t="s">
        <v>1135</v>
      </c>
      <c r="PY6" t="s">
        <v>1135</v>
      </c>
      <c r="PZ6" t="s">
        <v>1136</v>
      </c>
      <c r="QA6" t="s">
        <v>1136</v>
      </c>
      <c r="QB6" t="s">
        <v>1136</v>
      </c>
      <c r="QC6" t="s">
        <v>1136</v>
      </c>
      <c r="QD6" t="s">
        <v>1136</v>
      </c>
      <c r="QE6" t="s">
        <v>1136</v>
      </c>
      <c r="QF6" t="s">
        <v>1136</v>
      </c>
      <c r="QG6" t="s">
        <v>1136</v>
      </c>
      <c r="QH6" t="s">
        <v>1136</v>
      </c>
      <c r="QI6" t="s">
        <v>1136</v>
      </c>
      <c r="QJ6" t="s">
        <v>1137</v>
      </c>
      <c r="QK6" t="s">
        <v>1137</v>
      </c>
      <c r="QL6" t="s">
        <v>1137</v>
      </c>
      <c r="QM6" t="s">
        <v>1137</v>
      </c>
      <c r="QN6" t="s">
        <v>1137</v>
      </c>
      <c r="QO6" t="s">
        <v>1137</v>
      </c>
      <c r="QP6" t="s">
        <v>1137</v>
      </c>
      <c r="QQ6" t="s">
        <v>1137</v>
      </c>
      <c r="QR6" t="s">
        <v>1137</v>
      </c>
      <c r="QS6" t="s">
        <v>1137</v>
      </c>
      <c r="QT6" t="s">
        <v>1138</v>
      </c>
      <c r="QU6" t="s">
        <v>1138</v>
      </c>
      <c r="QV6" t="s">
        <v>1138</v>
      </c>
      <c r="QW6" t="s">
        <v>1138</v>
      </c>
      <c r="QX6" t="s">
        <v>1138</v>
      </c>
      <c r="QY6" t="s">
        <v>1138</v>
      </c>
      <c r="QZ6" t="s">
        <v>1138</v>
      </c>
      <c r="RA6" t="s">
        <v>1138</v>
      </c>
      <c r="RB6" t="s">
        <v>1138</v>
      </c>
      <c r="RC6" t="s">
        <v>1138</v>
      </c>
      <c r="RD6" t="s">
        <v>1139</v>
      </c>
      <c r="RE6" t="s">
        <v>1139</v>
      </c>
      <c r="RF6" t="s">
        <v>1139</v>
      </c>
      <c r="RG6" t="s">
        <v>1139</v>
      </c>
      <c r="RH6" t="s">
        <v>1139</v>
      </c>
      <c r="RI6" t="s">
        <v>1139</v>
      </c>
      <c r="RJ6" t="s">
        <v>1139</v>
      </c>
      <c r="RK6" t="s">
        <v>1139</v>
      </c>
      <c r="RL6" t="s">
        <v>1139</v>
      </c>
      <c r="RM6" t="s">
        <v>1139</v>
      </c>
      <c r="RN6" t="s">
        <v>1140</v>
      </c>
      <c r="RO6" t="s">
        <v>1140</v>
      </c>
      <c r="RP6" t="s">
        <v>1140</v>
      </c>
      <c r="RQ6" t="s">
        <v>1140</v>
      </c>
      <c r="RR6" t="s">
        <v>1140</v>
      </c>
      <c r="RS6" t="s">
        <v>1140</v>
      </c>
      <c r="RT6" t="s">
        <v>1140</v>
      </c>
      <c r="RU6" t="s">
        <v>1140</v>
      </c>
      <c r="RV6" t="s">
        <v>1140</v>
      </c>
      <c r="RW6" t="s">
        <v>1140</v>
      </c>
      <c r="RX6" t="s">
        <v>1141</v>
      </c>
      <c r="RY6" t="s">
        <v>1141</v>
      </c>
      <c r="RZ6" t="s">
        <v>1141</v>
      </c>
      <c r="SA6" t="s">
        <v>1141</v>
      </c>
      <c r="SB6" t="s">
        <v>1141</v>
      </c>
      <c r="SC6" t="s">
        <v>1141</v>
      </c>
      <c r="SD6" t="s">
        <v>1141</v>
      </c>
      <c r="SE6" t="s">
        <v>1141</v>
      </c>
      <c r="SF6" t="s">
        <v>1141</v>
      </c>
      <c r="SG6" t="s">
        <v>1141</v>
      </c>
      <c r="SH6" t="s">
        <v>1142</v>
      </c>
      <c r="SI6" t="s">
        <v>1142</v>
      </c>
      <c r="SJ6" t="s">
        <v>1142</v>
      </c>
      <c r="SK6" t="s">
        <v>1142</v>
      </c>
      <c r="SL6" t="s">
        <v>1142</v>
      </c>
      <c r="SM6" t="s">
        <v>1142</v>
      </c>
      <c r="SN6" t="s">
        <v>1142</v>
      </c>
      <c r="SO6" t="s">
        <v>1142</v>
      </c>
      <c r="SP6" t="s">
        <v>1142</v>
      </c>
      <c r="SQ6" t="s">
        <v>1142</v>
      </c>
      <c r="SR6" t="s">
        <v>1143</v>
      </c>
      <c r="SS6" t="s">
        <v>1143</v>
      </c>
      <c r="ST6" t="s">
        <v>1143</v>
      </c>
      <c r="SU6" t="s">
        <v>1143</v>
      </c>
      <c r="SV6" t="s">
        <v>1143</v>
      </c>
      <c r="SW6" t="s">
        <v>1143</v>
      </c>
      <c r="SX6" t="s">
        <v>1143</v>
      </c>
      <c r="SY6" t="s">
        <v>1143</v>
      </c>
      <c r="SZ6" t="s">
        <v>1143</v>
      </c>
      <c r="TA6" t="s">
        <v>1143</v>
      </c>
      <c r="TB6" t="s">
        <v>1144</v>
      </c>
      <c r="TC6" t="s">
        <v>1144</v>
      </c>
      <c r="TD6" t="s">
        <v>1144</v>
      </c>
      <c r="TE6" t="s">
        <v>1144</v>
      </c>
      <c r="TF6" t="s">
        <v>1144</v>
      </c>
      <c r="TG6" t="s">
        <v>1144</v>
      </c>
      <c r="TH6" t="s">
        <v>1144</v>
      </c>
      <c r="TI6" t="s">
        <v>1144</v>
      </c>
      <c r="TJ6" t="s">
        <v>1144</v>
      </c>
      <c r="TK6" t="s">
        <v>1144</v>
      </c>
      <c r="TL6" t="s">
        <v>1145</v>
      </c>
      <c r="TM6" t="s">
        <v>1145</v>
      </c>
      <c r="TN6" t="s">
        <v>1145</v>
      </c>
      <c r="TO6" t="s">
        <v>1145</v>
      </c>
      <c r="TP6" t="s">
        <v>1145</v>
      </c>
      <c r="TQ6" t="s">
        <v>1145</v>
      </c>
      <c r="TR6" t="s">
        <v>1145</v>
      </c>
      <c r="TS6" t="s">
        <v>1145</v>
      </c>
      <c r="TT6" t="s">
        <v>1145</v>
      </c>
      <c r="TU6" t="s">
        <v>1145</v>
      </c>
      <c r="TV6" t="s">
        <v>1146</v>
      </c>
      <c r="TW6" t="s">
        <v>1146</v>
      </c>
      <c r="TX6" t="s">
        <v>1146</v>
      </c>
      <c r="TY6" t="s">
        <v>1146</v>
      </c>
      <c r="TZ6" t="s">
        <v>1146</v>
      </c>
      <c r="UA6" t="s">
        <v>1146</v>
      </c>
      <c r="UB6" t="s">
        <v>1146</v>
      </c>
      <c r="UC6" t="s">
        <v>1146</v>
      </c>
      <c r="UD6" t="s">
        <v>1146</v>
      </c>
      <c r="UE6" t="s">
        <v>1146</v>
      </c>
      <c r="UF6" t="s">
        <v>1147</v>
      </c>
      <c r="UG6" t="s">
        <v>1147</v>
      </c>
      <c r="UH6" t="s">
        <v>1147</v>
      </c>
      <c r="UI6" t="s">
        <v>1147</v>
      </c>
      <c r="UJ6" t="s">
        <v>1147</v>
      </c>
      <c r="UK6" t="s">
        <v>1147</v>
      </c>
      <c r="UL6" t="s">
        <v>1147</v>
      </c>
      <c r="UM6" t="s">
        <v>1147</v>
      </c>
      <c r="UN6" t="s">
        <v>1147</v>
      </c>
      <c r="UO6" t="s">
        <v>1147</v>
      </c>
      <c r="UP6" t="s">
        <v>1148</v>
      </c>
      <c r="UQ6" t="s">
        <v>1148</v>
      </c>
      <c r="UR6" t="s">
        <v>1148</v>
      </c>
      <c r="US6" t="s">
        <v>1148</v>
      </c>
      <c r="UT6" t="s">
        <v>1148</v>
      </c>
      <c r="UU6" t="s">
        <v>1148</v>
      </c>
      <c r="UV6" t="s">
        <v>1148</v>
      </c>
      <c r="UW6" t="s">
        <v>1148</v>
      </c>
      <c r="UX6" t="s">
        <v>1148</v>
      </c>
      <c r="UY6" t="s">
        <v>1148</v>
      </c>
      <c r="UZ6" t="s">
        <v>1149</v>
      </c>
      <c r="VA6" t="s">
        <v>1149</v>
      </c>
      <c r="VB6" t="s">
        <v>1149</v>
      </c>
      <c r="VC6" t="s">
        <v>1149</v>
      </c>
      <c r="VD6" t="s">
        <v>1149</v>
      </c>
      <c r="VE6" t="s">
        <v>1149</v>
      </c>
      <c r="VF6" t="s">
        <v>1149</v>
      </c>
      <c r="VG6" t="s">
        <v>1149</v>
      </c>
      <c r="VH6" t="s">
        <v>1149</v>
      </c>
      <c r="VI6" t="s">
        <v>1149</v>
      </c>
      <c r="VJ6" t="s">
        <v>1150</v>
      </c>
      <c r="VK6" t="s">
        <v>1150</v>
      </c>
      <c r="VL6" t="s">
        <v>1150</v>
      </c>
      <c r="VM6" t="s">
        <v>1150</v>
      </c>
      <c r="VN6" t="s">
        <v>1150</v>
      </c>
      <c r="VO6" t="s">
        <v>1150</v>
      </c>
      <c r="VP6" t="s">
        <v>1150</v>
      </c>
      <c r="VQ6" t="s">
        <v>1150</v>
      </c>
      <c r="VR6" t="s">
        <v>1150</v>
      </c>
      <c r="VS6" t="s">
        <v>1150</v>
      </c>
      <c r="VT6" t="s">
        <v>1151</v>
      </c>
      <c r="VU6" t="s">
        <v>1151</v>
      </c>
      <c r="VV6" t="s">
        <v>1151</v>
      </c>
      <c r="VW6" t="s">
        <v>1151</v>
      </c>
      <c r="VX6" t="s">
        <v>1151</v>
      </c>
      <c r="VY6" t="s">
        <v>1151</v>
      </c>
      <c r="VZ6" t="s">
        <v>1151</v>
      </c>
      <c r="WA6" t="s">
        <v>1151</v>
      </c>
      <c r="WB6" t="s">
        <v>1151</v>
      </c>
      <c r="WC6" t="s">
        <v>1151</v>
      </c>
      <c r="WD6" t="s">
        <v>1152</v>
      </c>
      <c r="WE6" t="s">
        <v>1152</v>
      </c>
      <c r="WF6" t="s">
        <v>1152</v>
      </c>
      <c r="WG6" t="s">
        <v>1152</v>
      </c>
      <c r="WH6" t="s">
        <v>1152</v>
      </c>
      <c r="WI6" t="s">
        <v>1152</v>
      </c>
      <c r="WJ6" t="s">
        <v>1152</v>
      </c>
      <c r="WK6" t="s">
        <v>1152</v>
      </c>
      <c r="WL6" t="s">
        <v>1152</v>
      </c>
      <c r="WM6" t="s">
        <v>1152</v>
      </c>
      <c r="WN6" t="s">
        <v>1153</v>
      </c>
      <c r="WO6" t="s">
        <v>1153</v>
      </c>
      <c r="WP6" t="s">
        <v>1153</v>
      </c>
      <c r="WQ6" t="s">
        <v>1153</v>
      </c>
      <c r="WR6" t="s">
        <v>1153</v>
      </c>
      <c r="WS6" t="s">
        <v>1153</v>
      </c>
      <c r="WT6" t="s">
        <v>1153</v>
      </c>
      <c r="WU6" t="s">
        <v>1153</v>
      </c>
      <c r="WV6" t="s">
        <v>1153</v>
      </c>
      <c r="WW6" t="s">
        <v>1153</v>
      </c>
      <c r="WX6" t="s">
        <v>1154</v>
      </c>
      <c r="WY6" t="s">
        <v>1154</v>
      </c>
      <c r="WZ6" t="s">
        <v>1154</v>
      </c>
      <c r="XA6" t="s">
        <v>1154</v>
      </c>
      <c r="XB6" t="s">
        <v>1154</v>
      </c>
      <c r="XC6" t="s">
        <v>1154</v>
      </c>
      <c r="XD6" t="s">
        <v>1154</v>
      </c>
      <c r="XE6" t="s">
        <v>1154</v>
      </c>
      <c r="XF6" t="s">
        <v>1154</v>
      </c>
      <c r="XG6" t="s">
        <v>1154</v>
      </c>
      <c r="XH6" t="s">
        <v>1155</v>
      </c>
      <c r="XI6" t="s">
        <v>1155</v>
      </c>
      <c r="XJ6" t="s">
        <v>1155</v>
      </c>
      <c r="XK6" t="s">
        <v>1155</v>
      </c>
      <c r="XL6" t="s">
        <v>1155</v>
      </c>
      <c r="XM6" t="s">
        <v>1155</v>
      </c>
      <c r="XN6" t="s">
        <v>1155</v>
      </c>
      <c r="XO6" t="s">
        <v>1155</v>
      </c>
      <c r="XP6" t="s">
        <v>1155</v>
      </c>
      <c r="XQ6" t="s">
        <v>1155</v>
      </c>
      <c r="XR6" t="s">
        <v>1156</v>
      </c>
      <c r="XS6" t="s">
        <v>1156</v>
      </c>
      <c r="XT6" t="s">
        <v>1156</v>
      </c>
      <c r="XU6" t="s">
        <v>1156</v>
      </c>
      <c r="XV6" t="s">
        <v>1156</v>
      </c>
      <c r="XW6" t="s">
        <v>1156</v>
      </c>
      <c r="XX6" t="s">
        <v>1156</v>
      </c>
      <c r="XY6" t="s">
        <v>1156</v>
      </c>
      <c r="XZ6" t="s">
        <v>1156</v>
      </c>
      <c r="YA6" t="s">
        <v>1156</v>
      </c>
      <c r="YB6" t="s">
        <v>1157</v>
      </c>
      <c r="YC6" t="s">
        <v>1157</v>
      </c>
      <c r="YD6" t="s">
        <v>1157</v>
      </c>
      <c r="YE6" t="s">
        <v>1157</v>
      </c>
      <c r="YF6" t="s">
        <v>1157</v>
      </c>
      <c r="YG6" t="s">
        <v>1157</v>
      </c>
      <c r="YH6" t="s">
        <v>1157</v>
      </c>
      <c r="YI6" t="s">
        <v>1157</v>
      </c>
      <c r="YJ6" t="s">
        <v>1157</v>
      </c>
      <c r="YK6" t="s">
        <v>1157</v>
      </c>
      <c r="YL6" t="s">
        <v>1158</v>
      </c>
      <c r="YM6" t="s">
        <v>1158</v>
      </c>
      <c r="YN6" t="s">
        <v>1158</v>
      </c>
      <c r="YO6" t="s">
        <v>1158</v>
      </c>
      <c r="YP6" t="s">
        <v>1158</v>
      </c>
      <c r="YQ6" t="s">
        <v>1158</v>
      </c>
      <c r="YR6" t="s">
        <v>1158</v>
      </c>
      <c r="YS6" t="s">
        <v>1158</v>
      </c>
      <c r="YT6" t="s">
        <v>1158</v>
      </c>
      <c r="YU6" t="s">
        <v>1158</v>
      </c>
      <c r="YV6" t="s">
        <v>1159</v>
      </c>
      <c r="YW6" t="s">
        <v>1159</v>
      </c>
      <c r="YX6" t="s">
        <v>1159</v>
      </c>
      <c r="YY6" t="s">
        <v>1159</v>
      </c>
      <c r="YZ6" t="s">
        <v>1159</v>
      </c>
      <c r="ZA6" t="s">
        <v>1159</v>
      </c>
      <c r="ZB6" t="s">
        <v>1159</v>
      </c>
      <c r="ZC6" t="s">
        <v>1159</v>
      </c>
      <c r="ZD6" t="s">
        <v>1159</v>
      </c>
      <c r="ZE6" t="s">
        <v>1159</v>
      </c>
      <c r="ZF6" t="s">
        <v>1160</v>
      </c>
      <c r="ZG6" t="s">
        <v>1160</v>
      </c>
      <c r="ZH6" t="s">
        <v>1160</v>
      </c>
      <c r="ZI6" t="s">
        <v>1160</v>
      </c>
      <c r="ZJ6" t="s">
        <v>1160</v>
      </c>
      <c r="ZK6" t="s">
        <v>1160</v>
      </c>
      <c r="ZL6" t="s">
        <v>1160</v>
      </c>
      <c r="ZM6" t="s">
        <v>1160</v>
      </c>
      <c r="ZN6" t="s">
        <v>1160</v>
      </c>
      <c r="ZO6" t="s">
        <v>1160</v>
      </c>
      <c r="ZP6" t="s">
        <v>1161</v>
      </c>
      <c r="ZQ6" t="s">
        <v>1161</v>
      </c>
      <c r="ZR6" t="s">
        <v>1161</v>
      </c>
      <c r="ZS6" t="s">
        <v>1161</v>
      </c>
      <c r="ZT6" t="s">
        <v>1161</v>
      </c>
      <c r="ZU6" t="s">
        <v>1161</v>
      </c>
      <c r="ZV6" t="s">
        <v>1161</v>
      </c>
      <c r="ZW6" t="s">
        <v>1161</v>
      </c>
      <c r="ZX6" t="s">
        <v>1161</v>
      </c>
      <c r="ZY6" t="s">
        <v>1161</v>
      </c>
      <c r="ZZ6" t="s">
        <v>1162</v>
      </c>
      <c r="AAA6" t="s">
        <v>1162</v>
      </c>
      <c r="AAB6" t="s">
        <v>1162</v>
      </c>
      <c r="AAC6" t="s">
        <v>1162</v>
      </c>
      <c r="AAD6" t="s">
        <v>1162</v>
      </c>
      <c r="AAE6" t="s">
        <v>1162</v>
      </c>
      <c r="AAF6" t="s">
        <v>1162</v>
      </c>
      <c r="AAG6" t="s">
        <v>1162</v>
      </c>
      <c r="AAH6" t="s">
        <v>1162</v>
      </c>
      <c r="AAI6" t="s">
        <v>1162</v>
      </c>
      <c r="AAJ6" t="s">
        <v>1163</v>
      </c>
      <c r="AAK6" t="s">
        <v>1163</v>
      </c>
      <c r="AAL6" t="s">
        <v>1163</v>
      </c>
      <c r="AAM6" t="s">
        <v>1163</v>
      </c>
      <c r="AAN6" t="s">
        <v>1163</v>
      </c>
      <c r="AAO6" t="s">
        <v>1163</v>
      </c>
      <c r="AAP6" t="s">
        <v>1163</v>
      </c>
      <c r="AAQ6" t="s">
        <v>1163</v>
      </c>
      <c r="AAR6" t="s">
        <v>1163</v>
      </c>
      <c r="AAS6" t="s">
        <v>1163</v>
      </c>
      <c r="AAT6" t="s">
        <v>1164</v>
      </c>
      <c r="AAU6" t="s">
        <v>1164</v>
      </c>
      <c r="AAV6" t="s">
        <v>1164</v>
      </c>
      <c r="AAW6" t="s">
        <v>1164</v>
      </c>
      <c r="AAX6" t="s">
        <v>1164</v>
      </c>
      <c r="AAY6" t="s">
        <v>1164</v>
      </c>
      <c r="AAZ6" t="s">
        <v>1164</v>
      </c>
      <c r="ABA6" t="s">
        <v>1164</v>
      </c>
      <c r="ABB6" t="s">
        <v>1164</v>
      </c>
      <c r="ABC6" t="s">
        <v>1164</v>
      </c>
      <c r="ABD6" t="s">
        <v>1165</v>
      </c>
      <c r="ABE6" t="s">
        <v>1165</v>
      </c>
      <c r="ABF6" t="s">
        <v>1165</v>
      </c>
      <c r="ABG6" t="s">
        <v>1165</v>
      </c>
      <c r="ABH6" t="s">
        <v>1165</v>
      </c>
      <c r="ABI6" t="s">
        <v>1165</v>
      </c>
      <c r="ABJ6" t="s">
        <v>1165</v>
      </c>
      <c r="ABK6" t="s">
        <v>1165</v>
      </c>
      <c r="ABL6" t="s">
        <v>1165</v>
      </c>
      <c r="ABM6" t="s">
        <v>1165</v>
      </c>
      <c r="ABN6" t="s">
        <v>1166</v>
      </c>
      <c r="ABO6" t="s">
        <v>1166</v>
      </c>
      <c r="ABP6" t="s">
        <v>1166</v>
      </c>
      <c r="ABQ6" t="s">
        <v>1166</v>
      </c>
      <c r="ABR6" t="s">
        <v>1166</v>
      </c>
      <c r="ABS6" t="s">
        <v>1166</v>
      </c>
      <c r="ABT6" t="s">
        <v>1166</v>
      </c>
      <c r="ABU6" t="s">
        <v>1166</v>
      </c>
      <c r="ABV6" t="s">
        <v>1166</v>
      </c>
      <c r="ABW6" t="s">
        <v>1166</v>
      </c>
      <c r="ABX6" t="s">
        <v>1167</v>
      </c>
      <c r="ABY6" t="s">
        <v>1167</v>
      </c>
      <c r="ABZ6" t="s">
        <v>1167</v>
      </c>
      <c r="ACA6" t="s">
        <v>1167</v>
      </c>
      <c r="ACB6" t="s">
        <v>1167</v>
      </c>
      <c r="ACC6" t="s">
        <v>1167</v>
      </c>
      <c r="ACD6" t="s">
        <v>1167</v>
      </c>
      <c r="ACE6" t="s">
        <v>1167</v>
      </c>
      <c r="ACF6" t="s">
        <v>1167</v>
      </c>
      <c r="ACG6" t="s">
        <v>1167</v>
      </c>
      <c r="ACH6" t="s">
        <v>1168</v>
      </c>
      <c r="ACI6" t="s">
        <v>1168</v>
      </c>
      <c r="ACJ6" t="s">
        <v>1168</v>
      </c>
      <c r="ACK6" t="s">
        <v>1168</v>
      </c>
      <c r="ACL6" t="s">
        <v>1168</v>
      </c>
      <c r="ACM6" t="s">
        <v>1168</v>
      </c>
      <c r="ACN6" t="s">
        <v>1168</v>
      </c>
      <c r="ACO6" t="s">
        <v>1168</v>
      </c>
      <c r="ACP6" t="s">
        <v>1168</v>
      </c>
      <c r="ACQ6" t="s">
        <v>1168</v>
      </c>
      <c r="ACR6" t="s">
        <v>1169</v>
      </c>
      <c r="ACS6" t="s">
        <v>1169</v>
      </c>
      <c r="ACT6" t="s">
        <v>1169</v>
      </c>
      <c r="ACU6" t="s">
        <v>1169</v>
      </c>
      <c r="ACV6" t="s">
        <v>1169</v>
      </c>
      <c r="ACW6" t="s">
        <v>1169</v>
      </c>
      <c r="ACX6" t="s">
        <v>1169</v>
      </c>
      <c r="ACY6" t="s">
        <v>1169</v>
      </c>
      <c r="ACZ6" t="s">
        <v>1169</v>
      </c>
      <c r="ADA6" t="s">
        <v>1169</v>
      </c>
      <c r="ADB6" t="s">
        <v>1170</v>
      </c>
      <c r="ADC6" t="s">
        <v>1170</v>
      </c>
      <c r="ADD6" t="s">
        <v>1170</v>
      </c>
      <c r="ADE6" t="s">
        <v>1170</v>
      </c>
      <c r="ADF6" t="s">
        <v>1170</v>
      </c>
      <c r="ADG6" t="s">
        <v>1170</v>
      </c>
      <c r="ADH6" t="s">
        <v>1170</v>
      </c>
      <c r="ADI6" t="s">
        <v>1170</v>
      </c>
      <c r="ADJ6" t="s">
        <v>1170</v>
      </c>
      <c r="ADK6" t="s">
        <v>1170</v>
      </c>
      <c r="ADL6" t="s">
        <v>1171</v>
      </c>
      <c r="ADM6" t="s">
        <v>1171</v>
      </c>
      <c r="ADN6" t="s">
        <v>1171</v>
      </c>
      <c r="ADO6" t="s">
        <v>1171</v>
      </c>
      <c r="ADP6" t="s">
        <v>1171</v>
      </c>
      <c r="ADQ6" t="s">
        <v>1171</v>
      </c>
      <c r="ADR6" t="s">
        <v>1171</v>
      </c>
      <c r="ADS6" t="s">
        <v>1171</v>
      </c>
      <c r="ADT6" t="s">
        <v>1171</v>
      </c>
      <c r="ADU6" t="s">
        <v>1171</v>
      </c>
      <c r="ADV6" t="s">
        <v>1172</v>
      </c>
      <c r="ADW6" t="s">
        <v>1172</v>
      </c>
      <c r="ADX6" t="s">
        <v>1172</v>
      </c>
      <c r="ADY6" t="s">
        <v>1172</v>
      </c>
      <c r="ADZ6" t="s">
        <v>1172</v>
      </c>
      <c r="AEA6" t="s">
        <v>1172</v>
      </c>
      <c r="AEB6" t="s">
        <v>1172</v>
      </c>
      <c r="AEC6" t="s">
        <v>1172</v>
      </c>
      <c r="AED6" t="s">
        <v>1172</v>
      </c>
      <c r="AEE6" t="s">
        <v>1172</v>
      </c>
      <c r="AEF6" t="s">
        <v>1173</v>
      </c>
      <c r="AEG6" t="s">
        <v>1173</v>
      </c>
      <c r="AEH6" t="s">
        <v>1173</v>
      </c>
      <c r="AEI6" t="s">
        <v>1173</v>
      </c>
      <c r="AEJ6" t="s">
        <v>1173</v>
      </c>
      <c r="AEK6" t="s">
        <v>1173</v>
      </c>
      <c r="AEL6" t="s">
        <v>1173</v>
      </c>
      <c r="AEM6" t="s">
        <v>1173</v>
      </c>
      <c r="AEN6" t="s">
        <v>1173</v>
      </c>
      <c r="AEO6" t="s">
        <v>1173</v>
      </c>
      <c r="AEP6" t="s">
        <v>1174</v>
      </c>
      <c r="AEQ6" t="s">
        <v>1174</v>
      </c>
      <c r="AER6" t="s">
        <v>1174</v>
      </c>
      <c r="AES6" t="s">
        <v>1174</v>
      </c>
      <c r="AET6" t="s">
        <v>1174</v>
      </c>
      <c r="AEU6" t="s">
        <v>1174</v>
      </c>
      <c r="AEV6" t="s">
        <v>1174</v>
      </c>
      <c r="AEW6" t="s">
        <v>1174</v>
      </c>
      <c r="AEX6" t="s">
        <v>1174</v>
      </c>
      <c r="AEY6" t="s">
        <v>1174</v>
      </c>
      <c r="AEZ6" t="s">
        <v>1175</v>
      </c>
      <c r="AFA6" t="s">
        <v>1175</v>
      </c>
      <c r="AFB6" t="s">
        <v>1175</v>
      </c>
      <c r="AFC6" t="s">
        <v>1175</v>
      </c>
      <c r="AFD6" t="s">
        <v>1175</v>
      </c>
      <c r="AFE6" t="s">
        <v>1175</v>
      </c>
      <c r="AFF6" t="s">
        <v>1175</v>
      </c>
      <c r="AFG6" t="s">
        <v>1175</v>
      </c>
      <c r="AFH6" t="s">
        <v>1175</v>
      </c>
      <c r="AFI6" t="s">
        <v>1175</v>
      </c>
      <c r="AFJ6" t="s">
        <v>1176</v>
      </c>
      <c r="AFK6" t="s">
        <v>1176</v>
      </c>
      <c r="AFL6" t="s">
        <v>1176</v>
      </c>
      <c r="AFM6" t="s">
        <v>1176</v>
      </c>
      <c r="AFN6" t="s">
        <v>1176</v>
      </c>
      <c r="AFO6" t="s">
        <v>1176</v>
      </c>
      <c r="AFP6" t="s">
        <v>1176</v>
      </c>
      <c r="AFQ6" t="s">
        <v>1176</v>
      </c>
      <c r="AFR6" t="s">
        <v>1176</v>
      </c>
      <c r="AFS6" t="s">
        <v>1176</v>
      </c>
      <c r="AFT6" t="s">
        <v>1177</v>
      </c>
      <c r="AFU6" t="s">
        <v>1177</v>
      </c>
      <c r="AFV6" t="s">
        <v>1177</v>
      </c>
      <c r="AFW6" t="s">
        <v>1177</v>
      </c>
      <c r="AFX6" t="s">
        <v>1177</v>
      </c>
      <c r="AFY6" t="s">
        <v>1177</v>
      </c>
      <c r="AFZ6" t="s">
        <v>1177</v>
      </c>
      <c r="AGA6" t="s">
        <v>1177</v>
      </c>
      <c r="AGB6" t="s">
        <v>1177</v>
      </c>
      <c r="AGC6" t="s">
        <v>1177</v>
      </c>
      <c r="AGD6" t="s">
        <v>1178</v>
      </c>
      <c r="AGE6" t="s">
        <v>1178</v>
      </c>
      <c r="AGF6" t="s">
        <v>1178</v>
      </c>
      <c r="AGG6" t="s">
        <v>1178</v>
      </c>
      <c r="AGH6" t="s">
        <v>1178</v>
      </c>
      <c r="AGI6" t="s">
        <v>1178</v>
      </c>
      <c r="AGJ6" t="s">
        <v>1178</v>
      </c>
      <c r="AGK6" t="s">
        <v>1178</v>
      </c>
      <c r="AGL6" t="s">
        <v>1178</v>
      </c>
      <c r="AGM6" t="s">
        <v>1178</v>
      </c>
      <c r="AGN6" t="s">
        <v>1179</v>
      </c>
      <c r="AGO6" t="s">
        <v>1179</v>
      </c>
      <c r="AGP6" t="s">
        <v>1179</v>
      </c>
      <c r="AGQ6" t="s">
        <v>1179</v>
      </c>
      <c r="AGR6" t="s">
        <v>1179</v>
      </c>
      <c r="AGS6" t="s">
        <v>1179</v>
      </c>
      <c r="AGT6" t="s">
        <v>1179</v>
      </c>
      <c r="AGU6" t="s">
        <v>1179</v>
      </c>
      <c r="AGV6" t="s">
        <v>1179</v>
      </c>
      <c r="AGW6" t="s">
        <v>1179</v>
      </c>
      <c r="AGX6" t="s">
        <v>1180</v>
      </c>
      <c r="AGY6" t="s">
        <v>1180</v>
      </c>
      <c r="AGZ6" t="s">
        <v>1180</v>
      </c>
      <c r="AHA6" t="s">
        <v>1180</v>
      </c>
      <c r="AHB6" t="s">
        <v>1180</v>
      </c>
      <c r="AHC6" t="s">
        <v>1180</v>
      </c>
      <c r="AHD6" t="s">
        <v>1180</v>
      </c>
      <c r="AHE6" t="s">
        <v>1180</v>
      </c>
      <c r="AHF6" t="s">
        <v>1180</v>
      </c>
      <c r="AHG6" t="s">
        <v>1180</v>
      </c>
      <c r="AHH6" t="s">
        <v>1181</v>
      </c>
      <c r="AHI6" t="s">
        <v>1181</v>
      </c>
      <c r="AHJ6" t="s">
        <v>1181</v>
      </c>
      <c r="AHK6" t="s">
        <v>1181</v>
      </c>
      <c r="AHL6" t="s">
        <v>1181</v>
      </c>
      <c r="AHM6" t="s">
        <v>1181</v>
      </c>
      <c r="AHN6" t="s">
        <v>1181</v>
      </c>
      <c r="AHO6" t="s">
        <v>1181</v>
      </c>
      <c r="AHP6" t="s">
        <v>1181</v>
      </c>
      <c r="AHQ6" t="s">
        <v>1181</v>
      </c>
      <c r="AHR6" t="s">
        <v>1182</v>
      </c>
      <c r="AHS6" t="s">
        <v>1182</v>
      </c>
      <c r="AHT6" t="s">
        <v>1182</v>
      </c>
      <c r="AHU6" t="s">
        <v>1182</v>
      </c>
      <c r="AHV6" t="s">
        <v>1182</v>
      </c>
      <c r="AHW6" t="s">
        <v>1182</v>
      </c>
      <c r="AHX6" t="s">
        <v>1182</v>
      </c>
      <c r="AHY6" t="s">
        <v>1182</v>
      </c>
      <c r="AHZ6" t="s">
        <v>1182</v>
      </c>
      <c r="AIA6" t="s">
        <v>1182</v>
      </c>
      <c r="AIB6" t="s">
        <v>1183</v>
      </c>
      <c r="AIC6" t="s">
        <v>1183</v>
      </c>
      <c r="AID6" t="s">
        <v>1183</v>
      </c>
      <c r="AIE6" t="s">
        <v>1183</v>
      </c>
      <c r="AIF6" t="s">
        <v>1183</v>
      </c>
      <c r="AIG6" t="s">
        <v>1183</v>
      </c>
      <c r="AIH6" t="s">
        <v>1183</v>
      </c>
      <c r="AII6" t="s">
        <v>1183</v>
      </c>
      <c r="AIJ6" t="s">
        <v>1183</v>
      </c>
      <c r="AIK6" t="s">
        <v>1183</v>
      </c>
      <c r="AIL6" t="s">
        <v>1184</v>
      </c>
      <c r="AIM6" t="s">
        <v>1184</v>
      </c>
      <c r="AIN6" t="s">
        <v>1184</v>
      </c>
      <c r="AIO6" t="s">
        <v>1184</v>
      </c>
      <c r="AIP6" t="s">
        <v>1184</v>
      </c>
      <c r="AIQ6" t="s">
        <v>1184</v>
      </c>
      <c r="AIR6" t="s">
        <v>1184</v>
      </c>
      <c r="AIS6" t="s">
        <v>1184</v>
      </c>
      <c r="AIT6" t="s">
        <v>1184</v>
      </c>
      <c r="AIU6" t="s">
        <v>1184</v>
      </c>
      <c r="AIV6" t="s">
        <v>1185</v>
      </c>
      <c r="AIW6" t="s">
        <v>1185</v>
      </c>
      <c r="AIX6" t="s">
        <v>1185</v>
      </c>
      <c r="AIY6" t="s">
        <v>1185</v>
      </c>
      <c r="AIZ6" t="s">
        <v>1185</v>
      </c>
      <c r="AJA6" t="s">
        <v>1185</v>
      </c>
      <c r="AJB6" t="s">
        <v>1185</v>
      </c>
      <c r="AJC6" t="s">
        <v>1185</v>
      </c>
      <c r="AJD6" t="s">
        <v>1185</v>
      </c>
      <c r="AJE6" t="s">
        <v>1185</v>
      </c>
      <c r="AJF6" t="s">
        <v>1186</v>
      </c>
      <c r="AJG6" t="s">
        <v>1186</v>
      </c>
      <c r="AJH6" t="s">
        <v>1186</v>
      </c>
      <c r="AJI6" t="s">
        <v>1186</v>
      </c>
      <c r="AJJ6" t="s">
        <v>1186</v>
      </c>
      <c r="AJK6" t="s">
        <v>1186</v>
      </c>
      <c r="AJL6" t="s">
        <v>1186</v>
      </c>
      <c r="AJM6" t="s">
        <v>1186</v>
      </c>
      <c r="AJN6" t="s">
        <v>1186</v>
      </c>
      <c r="AJO6" t="s">
        <v>1186</v>
      </c>
      <c r="AJP6" t="s">
        <v>1187</v>
      </c>
      <c r="AJQ6" t="s">
        <v>1187</v>
      </c>
      <c r="AJR6" t="s">
        <v>1187</v>
      </c>
      <c r="AJS6" t="s">
        <v>1187</v>
      </c>
      <c r="AJT6" t="s">
        <v>1187</v>
      </c>
      <c r="AJU6" t="s">
        <v>1187</v>
      </c>
      <c r="AJV6" t="s">
        <v>1187</v>
      </c>
      <c r="AJW6" t="s">
        <v>1187</v>
      </c>
      <c r="AJX6" t="s">
        <v>1187</v>
      </c>
      <c r="AJY6" t="s">
        <v>1187</v>
      </c>
      <c r="AJZ6" t="s">
        <v>1188</v>
      </c>
      <c r="AKA6" t="s">
        <v>1188</v>
      </c>
      <c r="AKB6" t="s">
        <v>1188</v>
      </c>
      <c r="AKC6" t="s">
        <v>1188</v>
      </c>
      <c r="AKD6" t="s">
        <v>1188</v>
      </c>
      <c r="AKE6" t="s">
        <v>1188</v>
      </c>
      <c r="AKF6" t="s">
        <v>1188</v>
      </c>
      <c r="AKG6" t="s">
        <v>1188</v>
      </c>
      <c r="AKH6" t="s">
        <v>1188</v>
      </c>
      <c r="AKI6" t="s">
        <v>1188</v>
      </c>
      <c r="AKJ6" t="s">
        <v>1189</v>
      </c>
      <c r="AKK6" t="s">
        <v>1189</v>
      </c>
      <c r="AKL6" t="s">
        <v>1189</v>
      </c>
      <c r="AKM6" t="s">
        <v>1189</v>
      </c>
      <c r="AKN6" t="s">
        <v>1189</v>
      </c>
      <c r="AKO6" t="s">
        <v>1189</v>
      </c>
      <c r="AKP6" t="s">
        <v>1189</v>
      </c>
      <c r="AKQ6" t="s">
        <v>1189</v>
      </c>
      <c r="AKR6" t="s">
        <v>1189</v>
      </c>
      <c r="AKS6" t="s">
        <v>1189</v>
      </c>
      <c r="AKT6" t="s">
        <v>1190</v>
      </c>
      <c r="AKU6" t="s">
        <v>1190</v>
      </c>
      <c r="AKV6" t="s">
        <v>1190</v>
      </c>
      <c r="AKW6" t="s">
        <v>1190</v>
      </c>
      <c r="AKX6" t="s">
        <v>1190</v>
      </c>
      <c r="AKY6" t="s">
        <v>1190</v>
      </c>
      <c r="AKZ6" t="s">
        <v>1190</v>
      </c>
      <c r="ALA6" t="s">
        <v>1190</v>
      </c>
      <c r="ALB6" t="s">
        <v>1190</v>
      </c>
      <c r="ALC6" t="s">
        <v>1190</v>
      </c>
      <c r="ALD6" t="s">
        <v>1191</v>
      </c>
      <c r="ALE6" t="s">
        <v>1191</v>
      </c>
      <c r="ALF6" t="s">
        <v>1191</v>
      </c>
      <c r="ALG6" t="s">
        <v>1191</v>
      </c>
      <c r="ALH6" t="s">
        <v>1191</v>
      </c>
      <c r="ALI6" t="s">
        <v>1191</v>
      </c>
      <c r="ALJ6" t="s">
        <v>1191</v>
      </c>
      <c r="ALK6" t="s">
        <v>1191</v>
      </c>
      <c r="ALL6" t="s">
        <v>1191</v>
      </c>
    </row>
    <row r="7" spans="1:1000" x14ac:dyDescent="0.3">
      <c r="A7" t="s">
        <v>1288</v>
      </c>
      <c r="B7" t="s">
        <v>1289</v>
      </c>
      <c r="C7" t="s">
        <v>1290</v>
      </c>
      <c r="D7" t="s">
        <v>1291</v>
      </c>
      <c r="E7" t="s">
        <v>1292</v>
      </c>
      <c r="F7" t="s">
        <v>1293</v>
      </c>
      <c r="G7" t="s">
        <v>1294</v>
      </c>
      <c r="H7" t="s">
        <v>1295</v>
      </c>
      <c r="I7" t="s">
        <v>1296</v>
      </c>
      <c r="J7" t="s">
        <v>1297</v>
      </c>
      <c r="K7" t="s">
        <v>1298</v>
      </c>
      <c r="L7" t="s">
        <v>1298</v>
      </c>
      <c r="M7" t="s">
        <v>1298</v>
      </c>
      <c r="N7" t="s">
        <v>1298</v>
      </c>
      <c r="O7" t="s">
        <v>1298</v>
      </c>
      <c r="P7" t="s">
        <v>1298</v>
      </c>
      <c r="Q7" t="s">
        <v>1298</v>
      </c>
      <c r="R7" t="s">
        <v>1298</v>
      </c>
      <c r="S7" t="s">
        <v>1298</v>
      </c>
      <c r="T7" t="s">
        <v>1298</v>
      </c>
      <c r="U7" t="s">
        <v>1298</v>
      </c>
      <c r="V7" t="s">
        <v>1298</v>
      </c>
      <c r="W7" t="s">
        <v>1298</v>
      </c>
      <c r="X7" t="s">
        <v>1298</v>
      </c>
      <c r="Y7" t="s">
        <v>1298</v>
      </c>
      <c r="Z7" t="s">
        <v>1298</v>
      </c>
      <c r="AA7" t="s">
        <v>1298</v>
      </c>
      <c r="AB7" t="s">
        <v>1298</v>
      </c>
      <c r="AC7" t="s">
        <v>1298</v>
      </c>
      <c r="AD7" t="s">
        <v>1298</v>
      </c>
      <c r="AE7" t="s">
        <v>1298</v>
      </c>
      <c r="AF7" t="s">
        <v>1298</v>
      </c>
      <c r="AG7" t="s">
        <v>1298</v>
      </c>
      <c r="AH7" t="s">
        <v>1298</v>
      </c>
      <c r="AI7" t="s">
        <v>1298</v>
      </c>
      <c r="AJ7" t="s">
        <v>1298</v>
      </c>
      <c r="AK7" t="s">
        <v>1298</v>
      </c>
      <c r="AL7" t="s">
        <v>1298</v>
      </c>
      <c r="AM7" t="s">
        <v>1298</v>
      </c>
      <c r="AN7" t="s">
        <v>1298</v>
      </c>
      <c r="AO7" t="s">
        <v>1298</v>
      </c>
      <c r="AP7" t="s">
        <v>1298</v>
      </c>
      <c r="AQ7" t="s">
        <v>1298</v>
      </c>
      <c r="AR7" t="s">
        <v>1298</v>
      </c>
      <c r="AS7" t="s">
        <v>1298</v>
      </c>
      <c r="AT7" t="s">
        <v>1298</v>
      </c>
      <c r="AU7" t="s">
        <v>1298</v>
      </c>
      <c r="AV7" t="s">
        <v>1298</v>
      </c>
      <c r="AW7" t="s">
        <v>1298</v>
      </c>
      <c r="AX7" t="s">
        <v>1298</v>
      </c>
      <c r="AY7" t="s">
        <v>1298</v>
      </c>
      <c r="AZ7" t="s">
        <v>1299</v>
      </c>
      <c r="BA7" t="s">
        <v>1300</v>
      </c>
      <c r="BB7" t="s">
        <v>1301</v>
      </c>
      <c r="BC7" t="s">
        <v>1302</v>
      </c>
      <c r="BD7" t="s">
        <v>1303</v>
      </c>
      <c r="BE7" t="s">
        <v>1304</v>
      </c>
      <c r="BF7" t="s">
        <v>1305</v>
      </c>
      <c r="BG7" t="s">
        <v>1305</v>
      </c>
      <c r="BH7" t="s">
        <v>1305</v>
      </c>
      <c r="BI7" t="s">
        <v>1305</v>
      </c>
      <c r="BJ7" t="s">
        <v>1306</v>
      </c>
      <c r="BK7" t="s">
        <v>1307</v>
      </c>
      <c r="BL7" t="s">
        <v>1308</v>
      </c>
      <c r="BM7" t="s">
        <v>1309</v>
      </c>
      <c r="BN7" t="s">
        <v>1310</v>
      </c>
      <c r="BO7" t="s">
        <v>1311</v>
      </c>
      <c r="BP7" t="s">
        <v>1312</v>
      </c>
      <c r="BQ7" t="s">
        <v>1312</v>
      </c>
      <c r="BR7" t="s">
        <v>1312</v>
      </c>
      <c r="BS7" t="s">
        <v>1312</v>
      </c>
      <c r="BT7" t="s">
        <v>1313</v>
      </c>
      <c r="BU7" t="s">
        <v>1314</v>
      </c>
      <c r="BV7" t="s">
        <v>1315</v>
      </c>
      <c r="BW7" t="s">
        <v>1316</v>
      </c>
      <c r="BX7" t="s">
        <v>1317</v>
      </c>
      <c r="BY7" t="s">
        <v>1318</v>
      </c>
      <c r="BZ7" t="s">
        <v>1319</v>
      </c>
      <c r="CA7" t="s">
        <v>1319</v>
      </c>
      <c r="CB7" t="s">
        <v>1319</v>
      </c>
      <c r="CC7" t="s">
        <v>1319</v>
      </c>
      <c r="CD7" t="s">
        <v>1320</v>
      </c>
      <c r="CE7" t="s">
        <v>1321</v>
      </c>
      <c r="CF7" t="s">
        <v>1322</v>
      </c>
      <c r="CG7" t="s">
        <v>1323</v>
      </c>
      <c r="CH7" t="s">
        <v>1324</v>
      </c>
      <c r="CI7" t="s">
        <v>1325</v>
      </c>
      <c r="CJ7" t="s">
        <v>1326</v>
      </c>
      <c r="CK7" t="s">
        <v>1326</v>
      </c>
      <c r="CL7" t="s">
        <v>1326</v>
      </c>
      <c r="CM7" t="s">
        <v>1326</v>
      </c>
      <c r="CN7" t="s">
        <v>1327</v>
      </c>
      <c r="CO7" t="s">
        <v>1328</v>
      </c>
      <c r="CP7" t="s">
        <v>1329</v>
      </c>
      <c r="CQ7" t="s">
        <v>1330</v>
      </c>
      <c r="CR7" t="s">
        <v>1331</v>
      </c>
      <c r="CS7" t="s">
        <v>1332</v>
      </c>
      <c r="CT7" t="s">
        <v>1333</v>
      </c>
      <c r="CU7" t="s">
        <v>1333</v>
      </c>
      <c r="CV7" t="s">
        <v>1333</v>
      </c>
      <c r="CW7" t="s">
        <v>1333</v>
      </c>
      <c r="CX7" t="s">
        <v>1334</v>
      </c>
      <c r="CY7" t="s">
        <v>1335</v>
      </c>
      <c r="CZ7" t="s">
        <v>1336</v>
      </c>
      <c r="DA7" t="s">
        <v>1337</v>
      </c>
      <c r="DB7" t="s">
        <v>1338</v>
      </c>
      <c r="DC7" t="s">
        <v>1339</v>
      </c>
      <c r="DD7" t="s">
        <v>1340</v>
      </c>
      <c r="DE7" t="s">
        <v>1340</v>
      </c>
      <c r="DF7" t="s">
        <v>1340</v>
      </c>
      <c r="DG7" t="s">
        <v>1340</v>
      </c>
      <c r="DH7" t="s">
        <v>1341</v>
      </c>
      <c r="DI7" t="s">
        <v>1342</v>
      </c>
      <c r="DJ7" t="s">
        <v>1343</v>
      </c>
      <c r="DK7" t="s">
        <v>1344</v>
      </c>
      <c r="DL7" t="s">
        <v>1345</v>
      </c>
      <c r="DM7" t="s">
        <v>1346</v>
      </c>
      <c r="DN7" t="s">
        <v>1347</v>
      </c>
      <c r="DO7" t="s">
        <v>1347</v>
      </c>
      <c r="DP7" t="s">
        <v>1347</v>
      </c>
      <c r="DQ7" t="s">
        <v>1347</v>
      </c>
      <c r="DR7" t="s">
        <v>1348</v>
      </c>
      <c r="DS7" t="s">
        <v>1349</v>
      </c>
      <c r="DT7" t="s">
        <v>1350</v>
      </c>
      <c r="DU7" t="s">
        <v>1351</v>
      </c>
      <c r="DV7" t="s">
        <v>1352</v>
      </c>
      <c r="DW7" t="s">
        <v>1353</v>
      </c>
      <c r="DX7" t="s">
        <v>1354</v>
      </c>
      <c r="DY7" t="s">
        <v>1354</v>
      </c>
      <c r="DZ7" t="s">
        <v>1354</v>
      </c>
      <c r="EA7" t="s">
        <v>1354</v>
      </c>
      <c r="EB7" t="s">
        <v>1355</v>
      </c>
      <c r="EC7" t="s">
        <v>1356</v>
      </c>
      <c r="ED7" t="s">
        <v>1357</v>
      </c>
      <c r="EE7" t="s">
        <v>1358</v>
      </c>
      <c r="EF7" t="s">
        <v>1359</v>
      </c>
      <c r="EG7" t="s">
        <v>1360</v>
      </c>
      <c r="EH7" t="s">
        <v>1361</v>
      </c>
      <c r="EI7" t="s">
        <v>1361</v>
      </c>
      <c r="EJ7" t="s">
        <v>1361</v>
      </c>
      <c r="EK7" t="s">
        <v>1361</v>
      </c>
      <c r="EL7" t="s">
        <v>1362</v>
      </c>
      <c r="EM7" t="s">
        <v>1363</v>
      </c>
      <c r="EN7" t="s">
        <v>1364</v>
      </c>
      <c r="EO7" t="s">
        <v>1365</v>
      </c>
      <c r="EP7" t="s">
        <v>1366</v>
      </c>
      <c r="EQ7" t="s">
        <v>1367</v>
      </c>
      <c r="ER7" t="s">
        <v>1368</v>
      </c>
      <c r="ES7" t="s">
        <v>1368</v>
      </c>
      <c r="ET7" t="s">
        <v>1368</v>
      </c>
      <c r="EU7" t="s">
        <v>1368</v>
      </c>
      <c r="EV7" t="s">
        <v>1369</v>
      </c>
      <c r="EW7" t="s">
        <v>1370</v>
      </c>
      <c r="EX7" t="s">
        <v>1371</v>
      </c>
      <c r="EY7" t="s">
        <v>1372</v>
      </c>
      <c r="EZ7" t="s">
        <v>1373</v>
      </c>
      <c r="FA7" t="s">
        <v>1374</v>
      </c>
      <c r="FB7" t="s">
        <v>1375</v>
      </c>
      <c r="FC7" t="s">
        <v>1375</v>
      </c>
      <c r="FD7" t="s">
        <v>1375</v>
      </c>
      <c r="FE7" t="s">
        <v>1375</v>
      </c>
      <c r="FF7" t="s">
        <v>1376</v>
      </c>
      <c r="FG7" t="s">
        <v>1377</v>
      </c>
      <c r="FH7" t="s">
        <v>1378</v>
      </c>
      <c r="FI7" t="s">
        <v>1379</v>
      </c>
      <c r="FJ7" t="s">
        <v>1380</v>
      </c>
      <c r="FK7" t="s">
        <v>1381</v>
      </c>
      <c r="FL7" t="s">
        <v>1382</v>
      </c>
      <c r="FM7" t="s">
        <v>1382</v>
      </c>
      <c r="FN7" t="s">
        <v>1382</v>
      </c>
      <c r="FO7" t="s">
        <v>1382</v>
      </c>
      <c r="FP7" t="s">
        <v>1383</v>
      </c>
      <c r="FQ7" t="s">
        <v>1384</v>
      </c>
      <c r="FR7" t="s">
        <v>1385</v>
      </c>
      <c r="FS7" t="s">
        <v>1386</v>
      </c>
      <c r="FT7" t="s">
        <v>1387</v>
      </c>
      <c r="FU7" t="s">
        <v>1388</v>
      </c>
      <c r="FV7" t="s">
        <v>1389</v>
      </c>
      <c r="FW7" t="s">
        <v>1389</v>
      </c>
      <c r="FX7" t="s">
        <v>1389</v>
      </c>
      <c r="FY7" t="s">
        <v>1389</v>
      </c>
      <c r="FZ7" t="s">
        <v>1390</v>
      </c>
      <c r="GA7" t="s">
        <v>1391</v>
      </c>
      <c r="GB7" t="s">
        <v>1392</v>
      </c>
      <c r="GC7" t="s">
        <v>1393</v>
      </c>
      <c r="GD7" t="s">
        <v>1394</v>
      </c>
      <c r="GE7" t="s">
        <v>1395</v>
      </c>
      <c r="GF7" t="s">
        <v>1396</v>
      </c>
      <c r="GG7" t="s">
        <v>1396</v>
      </c>
      <c r="GH7" t="s">
        <v>1396</v>
      </c>
      <c r="GI7" t="s">
        <v>1396</v>
      </c>
      <c r="GJ7" t="s">
        <v>1397</v>
      </c>
      <c r="GK7" t="s">
        <v>1398</v>
      </c>
      <c r="GL7" t="s">
        <v>1399</v>
      </c>
      <c r="GM7" t="s">
        <v>1400</v>
      </c>
      <c r="GN7" t="s">
        <v>1401</v>
      </c>
      <c r="GO7" t="s">
        <v>1402</v>
      </c>
      <c r="GP7" t="s">
        <v>1403</v>
      </c>
      <c r="GQ7" t="s">
        <v>1403</v>
      </c>
      <c r="GR7" t="s">
        <v>1403</v>
      </c>
      <c r="GS7" t="s">
        <v>1403</v>
      </c>
      <c r="GT7" t="s">
        <v>1404</v>
      </c>
      <c r="GU7" t="s">
        <v>1405</v>
      </c>
      <c r="GV7" t="s">
        <v>1406</v>
      </c>
      <c r="GW7" t="s">
        <v>1407</v>
      </c>
      <c r="GX7" t="s">
        <v>1408</v>
      </c>
      <c r="GY7" t="s">
        <v>1409</v>
      </c>
      <c r="GZ7" t="s">
        <v>1410</v>
      </c>
      <c r="HA7" t="s">
        <v>1410</v>
      </c>
      <c r="HB7" t="s">
        <v>1410</v>
      </c>
      <c r="HC7" t="s">
        <v>1410</v>
      </c>
      <c r="HD7" t="s">
        <v>1411</v>
      </c>
      <c r="HE7" t="s">
        <v>1412</v>
      </c>
      <c r="HF7" t="s">
        <v>1413</v>
      </c>
      <c r="HG7" t="s">
        <v>1414</v>
      </c>
      <c r="HH7" t="s">
        <v>1415</v>
      </c>
      <c r="HI7" t="s">
        <v>1416</v>
      </c>
      <c r="HJ7" t="s">
        <v>1417</v>
      </c>
      <c r="HK7" t="s">
        <v>1417</v>
      </c>
      <c r="HL7" t="s">
        <v>1417</v>
      </c>
      <c r="HM7" t="s">
        <v>1417</v>
      </c>
      <c r="HN7" t="s">
        <v>1418</v>
      </c>
      <c r="HO7" t="s">
        <v>1419</v>
      </c>
      <c r="HP7" t="s">
        <v>1420</v>
      </c>
      <c r="HQ7" t="s">
        <v>1421</v>
      </c>
      <c r="HR7" t="s">
        <v>1422</v>
      </c>
      <c r="HS7" t="s">
        <v>1423</v>
      </c>
      <c r="HT7" t="s">
        <v>1424</v>
      </c>
      <c r="HU7" t="s">
        <v>1424</v>
      </c>
      <c r="HV7" t="s">
        <v>1424</v>
      </c>
      <c r="HW7" t="s">
        <v>1424</v>
      </c>
      <c r="HX7" t="s">
        <v>1425</v>
      </c>
      <c r="HY7" t="s">
        <v>1426</v>
      </c>
      <c r="HZ7" t="s">
        <v>1427</v>
      </c>
      <c r="IA7" t="s">
        <v>1428</v>
      </c>
      <c r="IB7" t="s">
        <v>1429</v>
      </c>
      <c r="IC7" t="s">
        <v>1430</v>
      </c>
      <c r="ID7" t="s">
        <v>1431</v>
      </c>
      <c r="IE7" t="s">
        <v>1431</v>
      </c>
      <c r="IF7" t="s">
        <v>1431</v>
      </c>
      <c r="IG7" t="s">
        <v>1431</v>
      </c>
      <c r="IH7" t="s">
        <v>1432</v>
      </c>
      <c r="II7" t="s">
        <v>1433</v>
      </c>
      <c r="IJ7" t="s">
        <v>1434</v>
      </c>
      <c r="IK7" t="s">
        <v>1435</v>
      </c>
      <c r="IL7" t="s">
        <v>1436</v>
      </c>
      <c r="IM7" t="s">
        <v>1437</v>
      </c>
      <c r="IN7" t="s">
        <v>1438</v>
      </c>
      <c r="IO7" t="s">
        <v>1438</v>
      </c>
      <c r="IP7" t="s">
        <v>1438</v>
      </c>
      <c r="IQ7" t="s">
        <v>1438</v>
      </c>
      <c r="IR7" t="s">
        <v>1439</v>
      </c>
      <c r="IS7" t="s">
        <v>1440</v>
      </c>
      <c r="IT7" t="s">
        <v>1441</v>
      </c>
      <c r="IU7" t="s">
        <v>1442</v>
      </c>
      <c r="IV7" t="s">
        <v>1443</v>
      </c>
      <c r="IW7" t="s">
        <v>1444</v>
      </c>
      <c r="IX7" t="s">
        <v>1445</v>
      </c>
      <c r="IY7" t="s">
        <v>1445</v>
      </c>
      <c r="IZ7" t="s">
        <v>1445</v>
      </c>
      <c r="JA7" t="s">
        <v>1445</v>
      </c>
      <c r="JB7" t="s">
        <v>1446</v>
      </c>
      <c r="JC7" t="s">
        <v>1447</v>
      </c>
      <c r="JD7" t="s">
        <v>1448</v>
      </c>
      <c r="JE7" t="s">
        <v>1449</v>
      </c>
      <c r="JF7" t="s">
        <v>1450</v>
      </c>
      <c r="JG7" t="s">
        <v>1451</v>
      </c>
      <c r="JH7" t="s">
        <v>1452</v>
      </c>
      <c r="JI7" t="s">
        <v>1452</v>
      </c>
      <c r="JJ7" t="s">
        <v>1452</v>
      </c>
      <c r="JK7" t="s">
        <v>1452</v>
      </c>
      <c r="JL7" t="s">
        <v>1453</v>
      </c>
      <c r="JM7" t="s">
        <v>1454</v>
      </c>
      <c r="JN7" t="s">
        <v>1455</v>
      </c>
      <c r="JO7" t="s">
        <v>1456</v>
      </c>
      <c r="JP7" t="s">
        <v>1457</v>
      </c>
      <c r="JQ7" t="s">
        <v>1458</v>
      </c>
      <c r="JR7" t="s">
        <v>1459</v>
      </c>
      <c r="JS7" t="s">
        <v>1459</v>
      </c>
      <c r="JT7" t="s">
        <v>1459</v>
      </c>
      <c r="JU7" t="s">
        <v>1459</v>
      </c>
      <c r="JV7" t="s">
        <v>1460</v>
      </c>
      <c r="JW7" t="s">
        <v>1461</v>
      </c>
      <c r="JX7" t="s">
        <v>1462</v>
      </c>
      <c r="JY7" t="s">
        <v>1463</v>
      </c>
      <c r="JZ7" t="s">
        <v>1464</v>
      </c>
      <c r="KA7" t="s">
        <v>1465</v>
      </c>
      <c r="KB7" t="s">
        <v>1466</v>
      </c>
      <c r="KC7" t="s">
        <v>1466</v>
      </c>
      <c r="KD7" t="s">
        <v>1466</v>
      </c>
      <c r="KE7" t="s">
        <v>1466</v>
      </c>
      <c r="KF7" t="s">
        <v>1467</v>
      </c>
      <c r="KG7" t="s">
        <v>1468</v>
      </c>
      <c r="KH7" t="s">
        <v>1469</v>
      </c>
      <c r="KI7" t="s">
        <v>1470</v>
      </c>
      <c r="KJ7" t="s">
        <v>1471</v>
      </c>
      <c r="KK7" t="s">
        <v>1472</v>
      </c>
      <c r="KL7" t="s">
        <v>1473</v>
      </c>
      <c r="KM7" t="s">
        <v>1473</v>
      </c>
      <c r="KN7" t="s">
        <v>1473</v>
      </c>
      <c r="KO7" t="s">
        <v>1473</v>
      </c>
      <c r="KP7" t="s">
        <v>1474</v>
      </c>
      <c r="KQ7" t="s">
        <v>1475</v>
      </c>
      <c r="KR7" t="s">
        <v>1476</v>
      </c>
      <c r="KS7" t="s">
        <v>1477</v>
      </c>
      <c r="KT7" t="s">
        <v>1478</v>
      </c>
      <c r="KU7" t="s">
        <v>1479</v>
      </c>
      <c r="KV7" t="s">
        <v>1480</v>
      </c>
      <c r="KW7" t="s">
        <v>1480</v>
      </c>
      <c r="KX7" t="s">
        <v>1480</v>
      </c>
      <c r="KY7" t="s">
        <v>1480</v>
      </c>
      <c r="KZ7" t="s">
        <v>1481</v>
      </c>
      <c r="LA7" t="s">
        <v>1482</v>
      </c>
      <c r="LB7" t="s">
        <v>1483</v>
      </c>
      <c r="LC7" t="s">
        <v>1484</v>
      </c>
      <c r="LD7" t="s">
        <v>1485</v>
      </c>
      <c r="LE7" t="s">
        <v>1486</v>
      </c>
      <c r="LF7" t="s">
        <v>1487</v>
      </c>
      <c r="LG7" t="s">
        <v>1487</v>
      </c>
      <c r="LH7" t="s">
        <v>1487</v>
      </c>
      <c r="LI7" t="s">
        <v>1487</v>
      </c>
      <c r="LJ7" t="s">
        <v>1488</v>
      </c>
      <c r="LK7" t="s">
        <v>1489</v>
      </c>
      <c r="LL7" t="s">
        <v>1490</v>
      </c>
      <c r="LM7" t="s">
        <v>1491</v>
      </c>
      <c r="LN7" t="s">
        <v>1492</v>
      </c>
      <c r="LO7" t="s">
        <v>1493</v>
      </c>
      <c r="LP7" t="s">
        <v>1494</v>
      </c>
      <c r="LQ7" t="s">
        <v>1494</v>
      </c>
      <c r="LR7" t="s">
        <v>1494</v>
      </c>
      <c r="LS7" t="s">
        <v>1494</v>
      </c>
      <c r="LT7" t="s">
        <v>1495</v>
      </c>
      <c r="LU7" t="s">
        <v>1496</v>
      </c>
      <c r="LV7" t="s">
        <v>1497</v>
      </c>
      <c r="LW7" t="s">
        <v>1498</v>
      </c>
      <c r="LX7" t="s">
        <v>1499</v>
      </c>
      <c r="LY7" t="s">
        <v>1500</v>
      </c>
      <c r="LZ7" t="s">
        <v>1501</v>
      </c>
      <c r="MA7" t="s">
        <v>1501</v>
      </c>
      <c r="MB7" t="s">
        <v>1501</v>
      </c>
      <c r="MC7" t="s">
        <v>1501</v>
      </c>
      <c r="MD7" t="s">
        <v>1502</v>
      </c>
      <c r="ME7" t="s">
        <v>1503</v>
      </c>
      <c r="MF7" t="s">
        <v>1504</v>
      </c>
      <c r="MG7" t="s">
        <v>1505</v>
      </c>
      <c r="MH7" t="s">
        <v>1506</v>
      </c>
      <c r="MI7" t="s">
        <v>1507</v>
      </c>
      <c r="MJ7" t="s">
        <v>1508</v>
      </c>
      <c r="MK7" t="s">
        <v>1508</v>
      </c>
      <c r="ML7" t="s">
        <v>1508</v>
      </c>
      <c r="MM7" t="s">
        <v>1508</v>
      </c>
      <c r="MN7" t="s">
        <v>1509</v>
      </c>
      <c r="MO7" t="s">
        <v>1510</v>
      </c>
      <c r="MP7" t="s">
        <v>1511</v>
      </c>
      <c r="MQ7" t="s">
        <v>1512</v>
      </c>
      <c r="MR7" t="s">
        <v>1513</v>
      </c>
      <c r="MS7" t="s">
        <v>1514</v>
      </c>
      <c r="MT7" t="s">
        <v>1515</v>
      </c>
      <c r="MU7" t="s">
        <v>1515</v>
      </c>
      <c r="MV7" t="s">
        <v>1515</v>
      </c>
      <c r="MW7" t="s">
        <v>1515</v>
      </c>
      <c r="MX7" t="s">
        <v>1516</v>
      </c>
      <c r="MY7" t="s">
        <v>1517</v>
      </c>
      <c r="MZ7" t="s">
        <v>1518</v>
      </c>
      <c r="NA7" t="s">
        <v>1519</v>
      </c>
      <c r="NB7" t="s">
        <v>1520</v>
      </c>
      <c r="NC7" t="s">
        <v>1521</v>
      </c>
      <c r="ND7" t="s">
        <v>1522</v>
      </c>
      <c r="NE7" t="s">
        <v>1522</v>
      </c>
      <c r="NF7" t="s">
        <v>1522</v>
      </c>
      <c r="NG7" t="s">
        <v>1522</v>
      </c>
      <c r="NH7" t="s">
        <v>1523</v>
      </c>
      <c r="NI7" t="s">
        <v>1524</v>
      </c>
      <c r="NJ7" t="s">
        <v>1525</v>
      </c>
      <c r="NK7" t="s">
        <v>1526</v>
      </c>
      <c r="NL7" t="s">
        <v>1527</v>
      </c>
      <c r="NM7" t="s">
        <v>1528</v>
      </c>
      <c r="NN7" t="s">
        <v>1529</v>
      </c>
      <c r="NO7" t="s">
        <v>1529</v>
      </c>
      <c r="NP7" t="s">
        <v>1529</v>
      </c>
      <c r="NQ7" t="s">
        <v>1529</v>
      </c>
      <c r="NR7" t="s">
        <v>1530</v>
      </c>
      <c r="NS7" t="s">
        <v>1531</v>
      </c>
      <c r="NT7" t="s">
        <v>1532</v>
      </c>
      <c r="NU7" t="s">
        <v>1533</v>
      </c>
      <c r="NV7" t="s">
        <v>1534</v>
      </c>
      <c r="NW7" t="s">
        <v>1535</v>
      </c>
      <c r="NX7" t="s">
        <v>1536</v>
      </c>
      <c r="NY7" t="s">
        <v>1536</v>
      </c>
      <c r="NZ7" t="s">
        <v>1536</v>
      </c>
      <c r="OA7" t="s">
        <v>1536</v>
      </c>
      <c r="OB7" t="s">
        <v>1537</v>
      </c>
      <c r="OC7" t="s">
        <v>1538</v>
      </c>
      <c r="OD7" t="s">
        <v>1539</v>
      </c>
      <c r="OE7" t="s">
        <v>1540</v>
      </c>
      <c r="OF7" t="s">
        <v>1541</v>
      </c>
      <c r="OG7" t="s">
        <v>1542</v>
      </c>
      <c r="OH7" t="s">
        <v>1543</v>
      </c>
      <c r="OI7" t="s">
        <v>1543</v>
      </c>
      <c r="OJ7" t="s">
        <v>1543</v>
      </c>
      <c r="OK7" t="s">
        <v>1543</v>
      </c>
      <c r="OL7" t="s">
        <v>1544</v>
      </c>
      <c r="OM7" t="s">
        <v>1545</v>
      </c>
      <c r="ON7" t="s">
        <v>1546</v>
      </c>
      <c r="OO7" t="s">
        <v>1547</v>
      </c>
      <c r="OP7" t="s">
        <v>1548</v>
      </c>
      <c r="OQ7" t="s">
        <v>1549</v>
      </c>
      <c r="OR7" t="s">
        <v>1550</v>
      </c>
      <c r="OS7" t="s">
        <v>1550</v>
      </c>
      <c r="OT7" t="s">
        <v>1550</v>
      </c>
      <c r="OU7" t="s">
        <v>1550</v>
      </c>
      <c r="OV7" t="s">
        <v>1551</v>
      </c>
      <c r="OW7" t="s">
        <v>1552</v>
      </c>
      <c r="OX7" t="s">
        <v>1553</v>
      </c>
      <c r="OY7" t="s">
        <v>1554</v>
      </c>
      <c r="OZ7" t="s">
        <v>1555</v>
      </c>
      <c r="PA7" t="s">
        <v>1556</v>
      </c>
      <c r="PB7" t="s">
        <v>1557</v>
      </c>
      <c r="PC7" t="s">
        <v>1557</v>
      </c>
      <c r="PD7" t="s">
        <v>1557</v>
      </c>
      <c r="PE7" t="s">
        <v>1557</v>
      </c>
      <c r="PF7" t="s">
        <v>1558</v>
      </c>
      <c r="PG7" t="s">
        <v>1559</v>
      </c>
      <c r="PH7" t="s">
        <v>1560</v>
      </c>
      <c r="PI7" t="s">
        <v>1561</v>
      </c>
      <c r="PJ7" t="s">
        <v>1562</v>
      </c>
      <c r="PK7" t="s">
        <v>1563</v>
      </c>
      <c r="PL7" t="s">
        <v>1564</v>
      </c>
      <c r="PM7" t="s">
        <v>1564</v>
      </c>
      <c r="PN7" t="s">
        <v>1564</v>
      </c>
      <c r="PO7" t="s">
        <v>1564</v>
      </c>
      <c r="PP7" t="s">
        <v>1565</v>
      </c>
      <c r="PQ7" t="s">
        <v>1566</v>
      </c>
      <c r="PR7" t="s">
        <v>1567</v>
      </c>
      <c r="PS7" t="s">
        <v>1568</v>
      </c>
      <c r="PT7" t="s">
        <v>1569</v>
      </c>
      <c r="PU7" t="s">
        <v>1570</v>
      </c>
      <c r="PV7" t="s">
        <v>1571</v>
      </c>
      <c r="PW7" t="s">
        <v>1571</v>
      </c>
      <c r="PX7" t="s">
        <v>1571</v>
      </c>
      <c r="PY7" t="s">
        <v>1571</v>
      </c>
      <c r="PZ7" t="s">
        <v>1572</v>
      </c>
      <c r="QA7" t="s">
        <v>1573</v>
      </c>
      <c r="QB7" t="s">
        <v>1574</v>
      </c>
      <c r="QC7" t="s">
        <v>1575</v>
      </c>
      <c r="QD7" t="s">
        <v>1576</v>
      </c>
      <c r="QE7" t="s">
        <v>1577</v>
      </c>
      <c r="QF7" t="s">
        <v>1578</v>
      </c>
      <c r="QG7" t="s">
        <v>1578</v>
      </c>
      <c r="QH7" t="s">
        <v>1578</v>
      </c>
      <c r="QI7" t="s">
        <v>1578</v>
      </c>
      <c r="QJ7" t="s">
        <v>1579</v>
      </c>
      <c r="QK7" t="s">
        <v>1580</v>
      </c>
      <c r="QL7" t="s">
        <v>1581</v>
      </c>
      <c r="QM7" t="s">
        <v>1582</v>
      </c>
      <c r="QN7" t="s">
        <v>1583</v>
      </c>
      <c r="QO7" t="s">
        <v>1584</v>
      </c>
      <c r="QP7" t="s">
        <v>1585</v>
      </c>
      <c r="QQ7" t="s">
        <v>1585</v>
      </c>
      <c r="QR7" t="s">
        <v>1585</v>
      </c>
      <c r="QS7" t="s">
        <v>1585</v>
      </c>
      <c r="QT7" t="s">
        <v>1586</v>
      </c>
      <c r="QU7" t="s">
        <v>1587</v>
      </c>
      <c r="QV7" t="s">
        <v>1588</v>
      </c>
      <c r="QW7" t="s">
        <v>1589</v>
      </c>
      <c r="QX7" t="s">
        <v>1590</v>
      </c>
      <c r="QY7" t="s">
        <v>1591</v>
      </c>
      <c r="QZ7" t="s">
        <v>1592</v>
      </c>
      <c r="RA7" t="s">
        <v>1592</v>
      </c>
      <c r="RB7" t="s">
        <v>1592</v>
      </c>
      <c r="RC7" t="s">
        <v>1592</v>
      </c>
      <c r="RD7" t="s">
        <v>1593</v>
      </c>
      <c r="RE7" t="s">
        <v>1594</v>
      </c>
      <c r="RF7" t="s">
        <v>1595</v>
      </c>
      <c r="RG7" t="s">
        <v>1596</v>
      </c>
      <c r="RH7" t="s">
        <v>1597</v>
      </c>
      <c r="RI7" t="s">
        <v>1598</v>
      </c>
      <c r="RJ7" t="s">
        <v>1599</v>
      </c>
      <c r="RK7" t="s">
        <v>1599</v>
      </c>
      <c r="RL7" t="s">
        <v>1599</v>
      </c>
      <c r="RM7" t="s">
        <v>1599</v>
      </c>
      <c r="RN7" t="s">
        <v>1600</v>
      </c>
      <c r="RO7" t="s">
        <v>1601</v>
      </c>
      <c r="RP7" t="s">
        <v>1602</v>
      </c>
      <c r="RQ7" t="s">
        <v>1603</v>
      </c>
      <c r="RR7" t="s">
        <v>1604</v>
      </c>
      <c r="RS7" t="s">
        <v>1605</v>
      </c>
      <c r="RT7" t="s">
        <v>1606</v>
      </c>
      <c r="RU7" t="s">
        <v>1606</v>
      </c>
      <c r="RV7" t="s">
        <v>1606</v>
      </c>
      <c r="RW7" t="s">
        <v>1606</v>
      </c>
      <c r="RX7" t="s">
        <v>1607</v>
      </c>
      <c r="RY7" t="s">
        <v>1608</v>
      </c>
      <c r="RZ7" t="s">
        <v>1609</v>
      </c>
      <c r="SA7" t="s">
        <v>1610</v>
      </c>
      <c r="SB7" t="s">
        <v>1611</v>
      </c>
      <c r="SC7" t="s">
        <v>1612</v>
      </c>
      <c r="SD7" t="s">
        <v>1613</v>
      </c>
      <c r="SE7" t="s">
        <v>1613</v>
      </c>
      <c r="SF7" t="s">
        <v>1613</v>
      </c>
      <c r="SG7" t="s">
        <v>1613</v>
      </c>
      <c r="SH7" t="s">
        <v>1614</v>
      </c>
      <c r="SI7" t="s">
        <v>1615</v>
      </c>
      <c r="SJ7" t="s">
        <v>1616</v>
      </c>
      <c r="SK7" t="s">
        <v>1617</v>
      </c>
      <c r="SL7" t="s">
        <v>1618</v>
      </c>
      <c r="SM7" t="s">
        <v>1619</v>
      </c>
      <c r="SN7" t="s">
        <v>1620</v>
      </c>
      <c r="SO7" t="s">
        <v>1620</v>
      </c>
      <c r="SP7" t="s">
        <v>1620</v>
      </c>
      <c r="SQ7" t="s">
        <v>1620</v>
      </c>
      <c r="SR7" t="s">
        <v>1621</v>
      </c>
      <c r="SS7" t="s">
        <v>1622</v>
      </c>
      <c r="ST7" t="s">
        <v>1623</v>
      </c>
      <c r="SU7" t="s">
        <v>1624</v>
      </c>
      <c r="SV7" t="s">
        <v>1625</v>
      </c>
      <c r="SW7" t="s">
        <v>1626</v>
      </c>
      <c r="SX7" t="s">
        <v>1627</v>
      </c>
      <c r="SY7" t="s">
        <v>1627</v>
      </c>
      <c r="SZ7" t="s">
        <v>1627</v>
      </c>
      <c r="TA7" t="s">
        <v>1627</v>
      </c>
      <c r="TB7" t="s">
        <v>1628</v>
      </c>
      <c r="TC7" t="s">
        <v>1629</v>
      </c>
      <c r="TD7" t="s">
        <v>1630</v>
      </c>
      <c r="TE7" t="s">
        <v>1631</v>
      </c>
      <c r="TF7" t="s">
        <v>1632</v>
      </c>
      <c r="TG7" t="s">
        <v>1633</v>
      </c>
      <c r="TH7" t="s">
        <v>1634</v>
      </c>
      <c r="TI7" t="s">
        <v>1634</v>
      </c>
      <c r="TJ7" t="s">
        <v>1634</v>
      </c>
      <c r="TK7" t="s">
        <v>1634</v>
      </c>
      <c r="TL7" t="s">
        <v>1635</v>
      </c>
      <c r="TM7" t="s">
        <v>1636</v>
      </c>
      <c r="TN7" t="s">
        <v>1637</v>
      </c>
      <c r="TO7" t="s">
        <v>1638</v>
      </c>
      <c r="TP7" t="s">
        <v>1639</v>
      </c>
      <c r="TQ7" t="s">
        <v>1640</v>
      </c>
      <c r="TR7" t="s">
        <v>1641</v>
      </c>
      <c r="TS7" t="s">
        <v>1641</v>
      </c>
      <c r="TT7" t="s">
        <v>1641</v>
      </c>
      <c r="TU7" t="s">
        <v>1641</v>
      </c>
      <c r="TV7" t="s">
        <v>1642</v>
      </c>
      <c r="TW7" t="s">
        <v>1643</v>
      </c>
      <c r="TX7" t="s">
        <v>1644</v>
      </c>
      <c r="TY7" t="s">
        <v>1645</v>
      </c>
      <c r="TZ7" t="s">
        <v>1646</v>
      </c>
      <c r="UA7" t="s">
        <v>1647</v>
      </c>
      <c r="UB7" t="s">
        <v>1648</v>
      </c>
      <c r="UC7" t="s">
        <v>1648</v>
      </c>
      <c r="UD7" t="s">
        <v>1648</v>
      </c>
      <c r="UE7" t="s">
        <v>1648</v>
      </c>
      <c r="UF7" t="s">
        <v>1649</v>
      </c>
      <c r="UG7" t="s">
        <v>1650</v>
      </c>
      <c r="UH7" t="s">
        <v>1651</v>
      </c>
      <c r="UI7" t="s">
        <v>1652</v>
      </c>
      <c r="UJ7" t="s">
        <v>1653</v>
      </c>
      <c r="UK7" t="s">
        <v>1654</v>
      </c>
      <c r="UL7" t="s">
        <v>1655</v>
      </c>
      <c r="UM7" t="s">
        <v>1655</v>
      </c>
      <c r="UN7" t="s">
        <v>1655</v>
      </c>
      <c r="UO7" t="s">
        <v>1655</v>
      </c>
      <c r="UP7" t="s">
        <v>1656</v>
      </c>
      <c r="UQ7" t="s">
        <v>1657</v>
      </c>
      <c r="UR7" t="s">
        <v>1658</v>
      </c>
      <c r="US7" t="s">
        <v>1659</v>
      </c>
      <c r="UT7" t="s">
        <v>1660</v>
      </c>
      <c r="UU7" t="s">
        <v>1661</v>
      </c>
      <c r="UV7" t="s">
        <v>1662</v>
      </c>
      <c r="UW7" t="s">
        <v>1662</v>
      </c>
      <c r="UX7" t="s">
        <v>1662</v>
      </c>
      <c r="UY7" t="s">
        <v>1662</v>
      </c>
      <c r="UZ7" t="s">
        <v>1663</v>
      </c>
      <c r="VA7" t="s">
        <v>1664</v>
      </c>
      <c r="VB7" t="s">
        <v>1665</v>
      </c>
      <c r="VC7" t="s">
        <v>1666</v>
      </c>
      <c r="VD7" t="s">
        <v>1667</v>
      </c>
      <c r="VE7" t="s">
        <v>1668</v>
      </c>
      <c r="VF7" t="s">
        <v>1669</v>
      </c>
      <c r="VG7" t="s">
        <v>1669</v>
      </c>
      <c r="VH7" t="s">
        <v>1669</v>
      </c>
      <c r="VI7" t="s">
        <v>1669</v>
      </c>
      <c r="VJ7" t="s">
        <v>1670</v>
      </c>
      <c r="VK7" t="s">
        <v>1671</v>
      </c>
      <c r="VL7" t="s">
        <v>1672</v>
      </c>
      <c r="VM7" t="s">
        <v>1673</v>
      </c>
      <c r="VN7" t="s">
        <v>1674</v>
      </c>
      <c r="VO7" t="s">
        <v>1675</v>
      </c>
      <c r="VP7" t="s">
        <v>1676</v>
      </c>
      <c r="VQ7" t="s">
        <v>1676</v>
      </c>
      <c r="VR7" t="s">
        <v>1676</v>
      </c>
      <c r="VS7" t="s">
        <v>1676</v>
      </c>
      <c r="VT7" t="s">
        <v>1677</v>
      </c>
      <c r="VU7" t="s">
        <v>1678</v>
      </c>
      <c r="VV7" t="s">
        <v>1679</v>
      </c>
      <c r="VW7" t="s">
        <v>1680</v>
      </c>
      <c r="VX7" t="s">
        <v>1681</v>
      </c>
      <c r="VY7" t="s">
        <v>1682</v>
      </c>
      <c r="VZ7" t="s">
        <v>1683</v>
      </c>
      <c r="WA7" t="s">
        <v>1683</v>
      </c>
      <c r="WB7" t="s">
        <v>1683</v>
      </c>
      <c r="WC7" t="s">
        <v>1683</v>
      </c>
      <c r="WD7" t="s">
        <v>1684</v>
      </c>
      <c r="WE7" t="s">
        <v>1685</v>
      </c>
      <c r="WF7" t="s">
        <v>1686</v>
      </c>
      <c r="WG7" t="s">
        <v>1687</v>
      </c>
      <c r="WH7" t="s">
        <v>1688</v>
      </c>
      <c r="WI7" t="s">
        <v>1689</v>
      </c>
      <c r="WJ7" t="s">
        <v>1690</v>
      </c>
      <c r="WK7" t="s">
        <v>1690</v>
      </c>
      <c r="WL7" t="s">
        <v>1690</v>
      </c>
      <c r="WM7" t="s">
        <v>1690</v>
      </c>
      <c r="WN7" t="s">
        <v>1691</v>
      </c>
      <c r="WO7" t="s">
        <v>1692</v>
      </c>
      <c r="WP7" t="s">
        <v>1693</v>
      </c>
      <c r="WQ7" t="s">
        <v>1694</v>
      </c>
      <c r="WR7" t="s">
        <v>1695</v>
      </c>
      <c r="WS7" t="s">
        <v>1696</v>
      </c>
      <c r="WT7" t="s">
        <v>1697</v>
      </c>
      <c r="WU7" t="s">
        <v>1697</v>
      </c>
      <c r="WV7" t="s">
        <v>1697</v>
      </c>
      <c r="WW7" t="s">
        <v>1697</v>
      </c>
      <c r="WX7" t="s">
        <v>1698</v>
      </c>
      <c r="WY7" t="s">
        <v>1699</v>
      </c>
      <c r="WZ7" t="s">
        <v>1700</v>
      </c>
      <c r="XA7" t="s">
        <v>1701</v>
      </c>
      <c r="XB7" t="s">
        <v>1702</v>
      </c>
      <c r="XC7" t="s">
        <v>1703</v>
      </c>
      <c r="XD7" t="s">
        <v>1704</v>
      </c>
      <c r="XE7" t="s">
        <v>1704</v>
      </c>
      <c r="XF7" t="s">
        <v>1704</v>
      </c>
      <c r="XG7" t="s">
        <v>1704</v>
      </c>
      <c r="XH7" t="s">
        <v>1705</v>
      </c>
      <c r="XI7" t="s">
        <v>1706</v>
      </c>
      <c r="XJ7" t="s">
        <v>1707</v>
      </c>
      <c r="XK7" t="s">
        <v>1708</v>
      </c>
      <c r="XL7" t="s">
        <v>1709</v>
      </c>
      <c r="XM7" t="s">
        <v>1710</v>
      </c>
      <c r="XN7" t="s">
        <v>1711</v>
      </c>
      <c r="XO7" t="s">
        <v>1711</v>
      </c>
      <c r="XP7" t="s">
        <v>1711</v>
      </c>
      <c r="XQ7" t="s">
        <v>1711</v>
      </c>
      <c r="XR7" t="s">
        <v>1712</v>
      </c>
      <c r="XS7" t="s">
        <v>1713</v>
      </c>
      <c r="XT7" t="s">
        <v>1714</v>
      </c>
      <c r="XU7" t="s">
        <v>1715</v>
      </c>
      <c r="XV7" t="s">
        <v>1716</v>
      </c>
      <c r="XW7" t="s">
        <v>1717</v>
      </c>
      <c r="XX7" t="s">
        <v>1718</v>
      </c>
      <c r="XY7" t="s">
        <v>1718</v>
      </c>
      <c r="XZ7" t="s">
        <v>1718</v>
      </c>
      <c r="YA7" t="s">
        <v>1718</v>
      </c>
      <c r="YB7" t="s">
        <v>1719</v>
      </c>
      <c r="YC7" t="s">
        <v>1720</v>
      </c>
      <c r="YD7" t="s">
        <v>1721</v>
      </c>
      <c r="YE7" t="s">
        <v>1722</v>
      </c>
      <c r="YF7" t="s">
        <v>1723</v>
      </c>
      <c r="YG7" t="s">
        <v>1724</v>
      </c>
      <c r="YH7" t="s">
        <v>1725</v>
      </c>
      <c r="YI7" t="s">
        <v>1725</v>
      </c>
      <c r="YJ7" t="s">
        <v>1725</v>
      </c>
      <c r="YK7" t="s">
        <v>1725</v>
      </c>
      <c r="YL7" t="s">
        <v>1726</v>
      </c>
      <c r="YM7" t="s">
        <v>1727</v>
      </c>
      <c r="YN7" t="s">
        <v>1728</v>
      </c>
      <c r="YO7" t="s">
        <v>1729</v>
      </c>
      <c r="YP7" t="s">
        <v>1730</v>
      </c>
      <c r="YQ7" t="s">
        <v>1731</v>
      </c>
      <c r="YR7" t="s">
        <v>1732</v>
      </c>
      <c r="YS7" t="s">
        <v>1732</v>
      </c>
      <c r="YT7" t="s">
        <v>1732</v>
      </c>
      <c r="YU7" t="s">
        <v>1732</v>
      </c>
      <c r="YV7" t="s">
        <v>1733</v>
      </c>
      <c r="YW7" t="s">
        <v>1734</v>
      </c>
      <c r="YX7" t="s">
        <v>1735</v>
      </c>
      <c r="YY7" t="s">
        <v>1736</v>
      </c>
      <c r="YZ7" t="s">
        <v>1737</v>
      </c>
      <c r="ZA7" t="s">
        <v>1738</v>
      </c>
      <c r="ZB7" t="s">
        <v>1739</v>
      </c>
      <c r="ZC7" t="s">
        <v>1739</v>
      </c>
      <c r="ZD7" t="s">
        <v>1739</v>
      </c>
      <c r="ZE7" t="s">
        <v>1739</v>
      </c>
      <c r="ZF7" t="s">
        <v>1740</v>
      </c>
      <c r="ZG7" t="s">
        <v>1741</v>
      </c>
      <c r="ZH7" t="s">
        <v>1742</v>
      </c>
      <c r="ZI7" t="s">
        <v>1743</v>
      </c>
      <c r="ZJ7" t="s">
        <v>1744</v>
      </c>
      <c r="ZK7" t="s">
        <v>1745</v>
      </c>
      <c r="ZL7" t="s">
        <v>1746</v>
      </c>
      <c r="ZM7" t="s">
        <v>1746</v>
      </c>
      <c r="ZN7" t="s">
        <v>1746</v>
      </c>
      <c r="ZO7" t="s">
        <v>1746</v>
      </c>
      <c r="ZP7" t="s">
        <v>1747</v>
      </c>
      <c r="ZQ7" t="s">
        <v>1748</v>
      </c>
      <c r="ZR7" t="s">
        <v>1749</v>
      </c>
      <c r="ZS7" t="s">
        <v>1750</v>
      </c>
      <c r="ZT7" t="s">
        <v>1751</v>
      </c>
      <c r="ZU7" t="s">
        <v>1752</v>
      </c>
      <c r="ZV7" t="s">
        <v>1753</v>
      </c>
      <c r="ZW7" t="s">
        <v>1753</v>
      </c>
      <c r="ZX7" t="s">
        <v>1753</v>
      </c>
      <c r="ZY7" t="s">
        <v>1753</v>
      </c>
      <c r="ZZ7" t="s">
        <v>1754</v>
      </c>
      <c r="AAA7" t="s">
        <v>1755</v>
      </c>
      <c r="AAB7" t="s">
        <v>1756</v>
      </c>
      <c r="AAC7" t="s">
        <v>1757</v>
      </c>
      <c r="AAD7" t="s">
        <v>1758</v>
      </c>
      <c r="AAE7" t="s">
        <v>1759</v>
      </c>
      <c r="AAF7" t="s">
        <v>1760</v>
      </c>
      <c r="AAG7" t="s">
        <v>1760</v>
      </c>
      <c r="AAH7" t="s">
        <v>1760</v>
      </c>
      <c r="AAI7" t="s">
        <v>1760</v>
      </c>
      <c r="AAJ7" t="s">
        <v>1761</v>
      </c>
      <c r="AAK7" t="s">
        <v>1762</v>
      </c>
      <c r="AAL7" t="s">
        <v>1763</v>
      </c>
      <c r="AAM7" t="s">
        <v>1764</v>
      </c>
      <c r="AAN7" t="s">
        <v>1765</v>
      </c>
      <c r="AAO7" t="s">
        <v>1766</v>
      </c>
      <c r="AAP7" t="s">
        <v>1767</v>
      </c>
      <c r="AAQ7" t="s">
        <v>1767</v>
      </c>
      <c r="AAR7" t="s">
        <v>1767</v>
      </c>
      <c r="AAS7" t="s">
        <v>1767</v>
      </c>
      <c r="AAT7" t="s">
        <v>1768</v>
      </c>
      <c r="AAU7" t="s">
        <v>1769</v>
      </c>
      <c r="AAV7" t="s">
        <v>1770</v>
      </c>
      <c r="AAW7" t="s">
        <v>1771</v>
      </c>
      <c r="AAX7" t="s">
        <v>1772</v>
      </c>
      <c r="AAY7" t="s">
        <v>1773</v>
      </c>
      <c r="AAZ7" t="s">
        <v>1774</v>
      </c>
      <c r="ABA7" t="s">
        <v>1774</v>
      </c>
      <c r="ABB7" t="s">
        <v>1774</v>
      </c>
      <c r="ABC7" t="s">
        <v>1774</v>
      </c>
      <c r="ABD7" t="s">
        <v>1775</v>
      </c>
      <c r="ABE7" t="s">
        <v>1776</v>
      </c>
      <c r="ABF7" t="s">
        <v>1777</v>
      </c>
      <c r="ABG7" t="s">
        <v>1778</v>
      </c>
      <c r="ABH7" t="s">
        <v>1779</v>
      </c>
      <c r="ABI7" t="s">
        <v>1780</v>
      </c>
      <c r="ABJ7" t="s">
        <v>1781</v>
      </c>
      <c r="ABK7" t="s">
        <v>1781</v>
      </c>
      <c r="ABL7" t="s">
        <v>1781</v>
      </c>
      <c r="ABM7" t="s">
        <v>1781</v>
      </c>
      <c r="ABN7" t="s">
        <v>1782</v>
      </c>
      <c r="ABO7" t="s">
        <v>1783</v>
      </c>
      <c r="ABP7" t="s">
        <v>1784</v>
      </c>
      <c r="ABQ7" t="s">
        <v>1785</v>
      </c>
      <c r="ABR7" t="s">
        <v>1786</v>
      </c>
      <c r="ABS7" t="s">
        <v>1787</v>
      </c>
      <c r="ABT7" t="s">
        <v>1788</v>
      </c>
      <c r="ABU7" t="s">
        <v>1788</v>
      </c>
      <c r="ABV7" t="s">
        <v>1788</v>
      </c>
      <c r="ABW7" t="s">
        <v>1788</v>
      </c>
      <c r="ABX7" t="s">
        <v>1789</v>
      </c>
      <c r="ABY7" t="s">
        <v>1790</v>
      </c>
      <c r="ABZ7" t="s">
        <v>1791</v>
      </c>
      <c r="ACA7" t="s">
        <v>1792</v>
      </c>
      <c r="ACB7" t="s">
        <v>1793</v>
      </c>
      <c r="ACC7" t="s">
        <v>1794</v>
      </c>
      <c r="ACD7" t="s">
        <v>1795</v>
      </c>
      <c r="ACE7" t="s">
        <v>1795</v>
      </c>
      <c r="ACF7" t="s">
        <v>1795</v>
      </c>
      <c r="ACG7" t="s">
        <v>1795</v>
      </c>
      <c r="ACH7" t="s">
        <v>1796</v>
      </c>
      <c r="ACI7" t="s">
        <v>1797</v>
      </c>
      <c r="ACJ7" t="s">
        <v>1798</v>
      </c>
      <c r="ACK7" t="s">
        <v>1799</v>
      </c>
      <c r="ACL7" t="s">
        <v>1800</v>
      </c>
      <c r="ACM7" t="s">
        <v>1800</v>
      </c>
      <c r="ACN7" t="s">
        <v>1801</v>
      </c>
      <c r="ACO7" t="s">
        <v>1801</v>
      </c>
      <c r="ACP7" t="s">
        <v>1801</v>
      </c>
      <c r="ACQ7" t="s">
        <v>1801</v>
      </c>
      <c r="ACR7" t="s">
        <v>1802</v>
      </c>
      <c r="ACS7" t="s">
        <v>1803</v>
      </c>
      <c r="ACT7" t="s">
        <v>1804</v>
      </c>
      <c r="ACU7" t="s">
        <v>1805</v>
      </c>
      <c r="ACV7" t="s">
        <v>1806</v>
      </c>
      <c r="ACW7" t="s">
        <v>1806</v>
      </c>
      <c r="ACX7" t="s">
        <v>1807</v>
      </c>
      <c r="ACY7" t="s">
        <v>1807</v>
      </c>
      <c r="ACZ7" t="s">
        <v>1807</v>
      </c>
      <c r="ADA7" t="s">
        <v>1807</v>
      </c>
      <c r="ADB7" t="s">
        <v>1808</v>
      </c>
      <c r="ADC7" t="s">
        <v>1809</v>
      </c>
      <c r="ADD7" t="s">
        <v>1810</v>
      </c>
      <c r="ADE7" t="s">
        <v>1811</v>
      </c>
      <c r="ADF7" t="s">
        <v>1812</v>
      </c>
      <c r="ADG7" t="s">
        <v>1813</v>
      </c>
      <c r="ADH7" t="s">
        <v>1814</v>
      </c>
      <c r="ADI7" t="s">
        <v>1814</v>
      </c>
      <c r="ADJ7" t="s">
        <v>1814</v>
      </c>
      <c r="ADK7" t="s">
        <v>1814</v>
      </c>
      <c r="ADL7" t="s">
        <v>1815</v>
      </c>
      <c r="ADM7" t="s">
        <v>1816</v>
      </c>
      <c r="ADN7" t="s">
        <v>1817</v>
      </c>
      <c r="ADO7" t="s">
        <v>1818</v>
      </c>
      <c r="ADP7" t="s">
        <v>1819</v>
      </c>
      <c r="ADQ7" t="s">
        <v>1820</v>
      </c>
      <c r="ADR7" t="s">
        <v>1821</v>
      </c>
      <c r="ADS7" t="s">
        <v>1821</v>
      </c>
      <c r="ADT7" t="s">
        <v>1821</v>
      </c>
      <c r="ADU7" t="s">
        <v>1821</v>
      </c>
      <c r="ADV7" t="s">
        <v>1822</v>
      </c>
      <c r="ADW7" t="s">
        <v>1823</v>
      </c>
      <c r="ADX7" t="s">
        <v>1824</v>
      </c>
      <c r="ADY7" t="s">
        <v>1825</v>
      </c>
      <c r="ADZ7" t="s">
        <v>1826</v>
      </c>
      <c r="AEA7" t="s">
        <v>1826</v>
      </c>
      <c r="AEB7" t="s">
        <v>1827</v>
      </c>
      <c r="AEC7" t="s">
        <v>1827</v>
      </c>
      <c r="AED7" t="s">
        <v>1827</v>
      </c>
      <c r="AEE7" t="s">
        <v>1827</v>
      </c>
      <c r="AEF7" t="s">
        <v>1828</v>
      </c>
      <c r="AEG7" t="s">
        <v>1829</v>
      </c>
      <c r="AEH7" t="s">
        <v>1830</v>
      </c>
      <c r="AEI7" t="s">
        <v>1831</v>
      </c>
      <c r="AEJ7" t="s">
        <v>1832</v>
      </c>
      <c r="AEK7" t="s">
        <v>1833</v>
      </c>
      <c r="AEL7" t="s">
        <v>1834</v>
      </c>
      <c r="AEM7" t="s">
        <v>1834</v>
      </c>
      <c r="AEN7" t="s">
        <v>1834</v>
      </c>
      <c r="AEO7" t="s">
        <v>1834</v>
      </c>
      <c r="AEP7" t="s">
        <v>1835</v>
      </c>
      <c r="AEQ7" t="s">
        <v>1836</v>
      </c>
      <c r="AER7" t="s">
        <v>1837</v>
      </c>
      <c r="AES7" t="s">
        <v>1838</v>
      </c>
      <c r="AET7" t="s">
        <v>1839</v>
      </c>
      <c r="AEU7" t="s">
        <v>1840</v>
      </c>
      <c r="AEV7" t="s">
        <v>1841</v>
      </c>
      <c r="AEW7" t="s">
        <v>1841</v>
      </c>
      <c r="AEX7" t="s">
        <v>1841</v>
      </c>
      <c r="AEY7" t="s">
        <v>1841</v>
      </c>
      <c r="AEZ7" t="s">
        <v>1842</v>
      </c>
      <c r="AFA7" t="s">
        <v>1843</v>
      </c>
      <c r="AFB7" t="s">
        <v>1844</v>
      </c>
      <c r="AFC7" t="s">
        <v>1845</v>
      </c>
      <c r="AFD7" t="s">
        <v>1846</v>
      </c>
      <c r="AFE7" t="s">
        <v>1846</v>
      </c>
      <c r="AFF7" t="s">
        <v>1847</v>
      </c>
      <c r="AFG7" t="s">
        <v>1847</v>
      </c>
      <c r="AFH7" t="s">
        <v>1847</v>
      </c>
      <c r="AFI7" t="s">
        <v>1847</v>
      </c>
      <c r="AFJ7" t="s">
        <v>1848</v>
      </c>
      <c r="AFK7" t="s">
        <v>1849</v>
      </c>
      <c r="AFL7" t="s">
        <v>1850</v>
      </c>
      <c r="AFM7" t="s">
        <v>1851</v>
      </c>
      <c r="AFN7" t="s">
        <v>1852</v>
      </c>
      <c r="AFO7" t="s">
        <v>1852</v>
      </c>
      <c r="AFP7" t="s">
        <v>1853</v>
      </c>
      <c r="AFQ7" t="s">
        <v>1853</v>
      </c>
      <c r="AFR7" t="s">
        <v>1853</v>
      </c>
      <c r="AFS7" t="s">
        <v>1853</v>
      </c>
      <c r="AFT7" t="s">
        <v>1854</v>
      </c>
      <c r="AFU7" t="s">
        <v>1855</v>
      </c>
      <c r="AFV7" t="s">
        <v>1856</v>
      </c>
      <c r="AFW7" t="s">
        <v>1857</v>
      </c>
      <c r="AFX7" t="s">
        <v>1858</v>
      </c>
      <c r="AFY7" t="s">
        <v>1858</v>
      </c>
      <c r="AFZ7" t="s">
        <v>1859</v>
      </c>
      <c r="AGA7" t="s">
        <v>1859</v>
      </c>
      <c r="AGB7" t="s">
        <v>1859</v>
      </c>
      <c r="AGC7" t="s">
        <v>1859</v>
      </c>
      <c r="AGD7" t="s">
        <v>1860</v>
      </c>
      <c r="AGE7" t="s">
        <v>1861</v>
      </c>
      <c r="AGF7" t="s">
        <v>1862</v>
      </c>
      <c r="AGG7" t="s">
        <v>1863</v>
      </c>
      <c r="AGH7" t="s">
        <v>1864</v>
      </c>
      <c r="AGI7" t="s">
        <v>1865</v>
      </c>
      <c r="AGJ7" t="s">
        <v>1866</v>
      </c>
      <c r="AGK7" t="s">
        <v>1866</v>
      </c>
      <c r="AGL7" t="s">
        <v>1866</v>
      </c>
      <c r="AGM7" t="s">
        <v>1866</v>
      </c>
      <c r="AGN7" t="s">
        <v>1867</v>
      </c>
      <c r="AGO7" t="s">
        <v>1868</v>
      </c>
      <c r="AGP7" t="s">
        <v>1869</v>
      </c>
      <c r="AGQ7" t="s">
        <v>1870</v>
      </c>
      <c r="AGR7" t="s">
        <v>1871</v>
      </c>
      <c r="AGS7" t="s">
        <v>1871</v>
      </c>
      <c r="AGT7" t="s">
        <v>1872</v>
      </c>
      <c r="AGU7" t="s">
        <v>1872</v>
      </c>
      <c r="AGV7" t="s">
        <v>1872</v>
      </c>
      <c r="AGW7" t="s">
        <v>1872</v>
      </c>
      <c r="AGX7" t="s">
        <v>1873</v>
      </c>
      <c r="AGY7" t="s">
        <v>1874</v>
      </c>
      <c r="AGZ7" t="s">
        <v>1875</v>
      </c>
      <c r="AHA7" t="s">
        <v>1876</v>
      </c>
      <c r="AHB7" t="s">
        <v>1877</v>
      </c>
      <c r="AHC7" t="s">
        <v>1877</v>
      </c>
      <c r="AHD7" t="s">
        <v>1878</v>
      </c>
      <c r="AHE7" t="s">
        <v>1878</v>
      </c>
      <c r="AHF7" t="s">
        <v>1878</v>
      </c>
      <c r="AHG7" t="s">
        <v>1878</v>
      </c>
      <c r="AHH7" t="s">
        <v>1879</v>
      </c>
      <c r="AHI7" t="s">
        <v>1880</v>
      </c>
      <c r="AHJ7" t="s">
        <v>1881</v>
      </c>
      <c r="AHK7" t="s">
        <v>1882</v>
      </c>
      <c r="AHL7" t="s">
        <v>1883</v>
      </c>
      <c r="AHM7" t="s">
        <v>1884</v>
      </c>
      <c r="AHN7" t="s">
        <v>1885</v>
      </c>
      <c r="AHO7" t="s">
        <v>1885</v>
      </c>
      <c r="AHP7" t="s">
        <v>1885</v>
      </c>
      <c r="AHQ7" t="s">
        <v>1885</v>
      </c>
      <c r="AHR7" t="s">
        <v>1886</v>
      </c>
      <c r="AHS7" t="s">
        <v>1887</v>
      </c>
      <c r="AHT7" t="s">
        <v>1888</v>
      </c>
      <c r="AHU7" t="s">
        <v>1889</v>
      </c>
      <c r="AHV7" t="s">
        <v>1890</v>
      </c>
      <c r="AHW7" t="s">
        <v>1891</v>
      </c>
      <c r="AHX7" t="s">
        <v>1892</v>
      </c>
      <c r="AHY7" t="s">
        <v>1892</v>
      </c>
      <c r="AHZ7" t="s">
        <v>1892</v>
      </c>
      <c r="AIA7" t="s">
        <v>1892</v>
      </c>
      <c r="AIB7" t="s">
        <v>1893</v>
      </c>
      <c r="AIC7" t="s">
        <v>1894</v>
      </c>
      <c r="AID7" t="s">
        <v>1895</v>
      </c>
      <c r="AIE7" t="s">
        <v>1896</v>
      </c>
      <c r="AIF7" t="s">
        <v>1897</v>
      </c>
      <c r="AIG7" t="s">
        <v>1898</v>
      </c>
      <c r="AIH7" t="s">
        <v>1899</v>
      </c>
      <c r="AII7" t="s">
        <v>1899</v>
      </c>
      <c r="AIJ7" t="s">
        <v>1899</v>
      </c>
      <c r="AIK7" t="s">
        <v>1899</v>
      </c>
      <c r="AIL7" t="s">
        <v>1900</v>
      </c>
      <c r="AIM7" t="s">
        <v>1901</v>
      </c>
      <c r="AIN7" t="s">
        <v>1902</v>
      </c>
      <c r="AIO7" t="s">
        <v>1903</v>
      </c>
      <c r="AIP7" t="s">
        <v>1904</v>
      </c>
      <c r="AIQ7" t="s">
        <v>1905</v>
      </c>
      <c r="AIR7" t="s">
        <v>1906</v>
      </c>
      <c r="AIS7" t="s">
        <v>1906</v>
      </c>
      <c r="AIT7" t="s">
        <v>1906</v>
      </c>
      <c r="AIU7" t="s">
        <v>1906</v>
      </c>
      <c r="AIV7" t="s">
        <v>1907</v>
      </c>
      <c r="AIW7" t="s">
        <v>1908</v>
      </c>
      <c r="AIX7" t="s">
        <v>1909</v>
      </c>
      <c r="AIY7" t="s">
        <v>1910</v>
      </c>
      <c r="AIZ7" t="s">
        <v>1911</v>
      </c>
      <c r="AJA7" t="s">
        <v>1912</v>
      </c>
      <c r="AJB7" t="s">
        <v>1913</v>
      </c>
      <c r="AJC7" t="s">
        <v>1913</v>
      </c>
      <c r="AJD7" t="s">
        <v>1913</v>
      </c>
      <c r="AJE7" t="s">
        <v>1913</v>
      </c>
      <c r="AJF7" t="s">
        <v>1914</v>
      </c>
      <c r="AJG7" t="s">
        <v>1915</v>
      </c>
      <c r="AJH7" t="s">
        <v>1916</v>
      </c>
      <c r="AJI7" t="s">
        <v>1917</v>
      </c>
      <c r="AJJ7" t="s">
        <v>1918</v>
      </c>
      <c r="AJK7" t="s">
        <v>1919</v>
      </c>
      <c r="AJL7" t="s">
        <v>1920</v>
      </c>
      <c r="AJM7" t="s">
        <v>1920</v>
      </c>
      <c r="AJN7" t="s">
        <v>1920</v>
      </c>
      <c r="AJO7" t="s">
        <v>1920</v>
      </c>
      <c r="AJP7" t="s">
        <v>1921</v>
      </c>
      <c r="AJQ7" t="s">
        <v>1922</v>
      </c>
      <c r="AJR7" t="s">
        <v>1923</v>
      </c>
      <c r="AJS7" t="s">
        <v>1924</v>
      </c>
      <c r="AJT7" t="s">
        <v>1925</v>
      </c>
      <c r="AJU7" t="s">
        <v>1926</v>
      </c>
      <c r="AJV7" t="s">
        <v>1927</v>
      </c>
      <c r="AJW7" t="s">
        <v>1927</v>
      </c>
      <c r="AJX7" t="s">
        <v>1927</v>
      </c>
      <c r="AJY7" t="s">
        <v>1927</v>
      </c>
      <c r="AJZ7" t="s">
        <v>1928</v>
      </c>
      <c r="AKA7" t="s">
        <v>1929</v>
      </c>
      <c r="AKB7" t="s">
        <v>1930</v>
      </c>
      <c r="AKC7" t="s">
        <v>1931</v>
      </c>
      <c r="AKD7" t="s">
        <v>1932</v>
      </c>
      <c r="AKE7" t="s">
        <v>1933</v>
      </c>
      <c r="AKF7" t="s">
        <v>1934</v>
      </c>
      <c r="AKG7" t="s">
        <v>1934</v>
      </c>
      <c r="AKH7" t="s">
        <v>1934</v>
      </c>
      <c r="AKI7" t="s">
        <v>1934</v>
      </c>
      <c r="AKJ7" t="s">
        <v>1935</v>
      </c>
      <c r="AKK7" t="s">
        <v>1936</v>
      </c>
      <c r="AKL7" t="s">
        <v>1937</v>
      </c>
      <c r="AKM7" t="s">
        <v>1938</v>
      </c>
      <c r="AKN7" t="s">
        <v>1939</v>
      </c>
      <c r="AKO7" t="s">
        <v>1940</v>
      </c>
      <c r="AKP7" t="s">
        <v>1941</v>
      </c>
      <c r="AKQ7" t="s">
        <v>1941</v>
      </c>
      <c r="AKR7" t="s">
        <v>1941</v>
      </c>
      <c r="AKS7" t="s">
        <v>1941</v>
      </c>
      <c r="AKT7" t="s">
        <v>1942</v>
      </c>
      <c r="AKU7" t="s">
        <v>1943</v>
      </c>
      <c r="AKV7" t="s">
        <v>1944</v>
      </c>
      <c r="AKW7" t="s">
        <v>1945</v>
      </c>
      <c r="AKX7" t="s">
        <v>1946</v>
      </c>
      <c r="AKY7" t="s">
        <v>1947</v>
      </c>
      <c r="AKZ7" t="s">
        <v>1948</v>
      </c>
      <c r="ALA7" t="s">
        <v>1948</v>
      </c>
      <c r="ALB7" t="s">
        <v>1948</v>
      </c>
      <c r="ALC7" t="s">
        <v>1948</v>
      </c>
      <c r="ALD7" t="s">
        <v>1949</v>
      </c>
      <c r="ALE7" t="s">
        <v>1950</v>
      </c>
      <c r="ALF7" t="s">
        <v>1951</v>
      </c>
      <c r="ALG7" t="s">
        <v>1952</v>
      </c>
      <c r="ALH7" t="s">
        <v>1953</v>
      </c>
      <c r="ALI7" t="s">
        <v>1954</v>
      </c>
      <c r="ALJ7" t="s">
        <v>1955</v>
      </c>
      <c r="ALK7" t="s">
        <v>1955</v>
      </c>
      <c r="ALL7" t="s">
        <v>1955</v>
      </c>
    </row>
    <row r="8" spans="1:1000" x14ac:dyDescent="0.3">
      <c r="A8">
        <f>-A7+$AX$7</f>
        <v>8.9375599999999977</v>
      </c>
      <c r="B8">
        <f t="shared" ref="B8:BM8" si="0">-B7+$AX$7</f>
        <v>3.3875699999999966</v>
      </c>
      <c r="C8">
        <f t="shared" si="0"/>
        <v>-0.13936000000000348</v>
      </c>
      <c r="D8">
        <f t="shared" si="0"/>
        <v>-0.41520000000000579</v>
      </c>
      <c r="E8">
        <f t="shared" si="0"/>
        <v>-9.0370000000000061E-2</v>
      </c>
      <c r="F8">
        <f t="shared" si="0"/>
        <v>2.360999999999791E-2</v>
      </c>
      <c r="G8">
        <f t="shared" si="0"/>
        <v>1.641000000000048E-2</v>
      </c>
      <c r="H8">
        <f t="shared" si="0"/>
        <v>1.799999999995805E-3</v>
      </c>
      <c r="I8">
        <f t="shared" si="0"/>
        <v>-1.1300000000034061E-3</v>
      </c>
      <c r="J8">
        <f t="shared" si="0"/>
        <v>-2.5000000000119371E-4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0.10723999999999734</v>
      </c>
      <c r="BA8">
        <f t="shared" si="0"/>
        <v>0.19481999999999999</v>
      </c>
      <c r="BB8">
        <f t="shared" si="0"/>
        <v>0.20517999999999859</v>
      </c>
      <c r="BC8">
        <f t="shared" si="0"/>
        <v>0.19801999999999964</v>
      </c>
      <c r="BD8">
        <f t="shared" si="0"/>
        <v>0.1950299999999956</v>
      </c>
      <c r="BE8">
        <f t="shared" si="0"/>
        <v>0.19507000000000119</v>
      </c>
      <c r="BF8">
        <f t="shared" si="0"/>
        <v>0.19538999999999618</v>
      </c>
      <c r="BG8">
        <f t="shared" si="0"/>
        <v>0.19538999999999618</v>
      </c>
      <c r="BH8">
        <f t="shared" si="0"/>
        <v>0.19538999999999618</v>
      </c>
      <c r="BI8">
        <f t="shared" si="0"/>
        <v>0.19538999999999618</v>
      </c>
      <c r="BJ8">
        <f t="shared" si="0"/>
        <v>0.30247999999999564</v>
      </c>
      <c r="BK8">
        <f t="shared" si="0"/>
        <v>0.38994999999999891</v>
      </c>
      <c r="BL8">
        <f t="shared" si="0"/>
        <v>0.4003099999999975</v>
      </c>
      <c r="BM8">
        <f t="shared" si="0"/>
        <v>0.39315999999999462</v>
      </c>
      <c r="BN8">
        <f t="shared" ref="BN8:DY8" si="1">-BN7+$AX$7</f>
        <v>0.39015999999999451</v>
      </c>
      <c r="BO8">
        <f t="shared" si="1"/>
        <v>0.3902000000000001</v>
      </c>
      <c r="BP8">
        <f t="shared" si="1"/>
        <v>0.39051999999999509</v>
      </c>
      <c r="BQ8">
        <f t="shared" si="1"/>
        <v>0.39051999999999509</v>
      </c>
      <c r="BR8">
        <f t="shared" si="1"/>
        <v>0.39051999999999509</v>
      </c>
      <c r="BS8">
        <f t="shared" si="1"/>
        <v>0.39051999999999509</v>
      </c>
      <c r="BT8">
        <f t="shared" si="1"/>
        <v>0.49756999999999607</v>
      </c>
      <c r="BU8">
        <f t="shared" si="1"/>
        <v>0.58502999999999616</v>
      </c>
      <c r="BV8">
        <f t="shared" si="1"/>
        <v>0.59538999999999476</v>
      </c>
      <c r="BW8">
        <f t="shared" si="1"/>
        <v>0.58822999999999581</v>
      </c>
      <c r="BX8">
        <f t="shared" si="1"/>
        <v>0.5852299999999957</v>
      </c>
      <c r="BY8">
        <f t="shared" si="1"/>
        <v>0.58526999999999418</v>
      </c>
      <c r="BZ8">
        <f t="shared" si="1"/>
        <v>0.58558999999999628</v>
      </c>
      <c r="CA8">
        <f t="shared" si="1"/>
        <v>0.58558999999999628</v>
      </c>
      <c r="CB8">
        <f t="shared" si="1"/>
        <v>0.58558999999999628</v>
      </c>
      <c r="CC8">
        <f t="shared" si="1"/>
        <v>0.58558999999999628</v>
      </c>
      <c r="CD8">
        <f t="shared" si="1"/>
        <v>0.69259999999999877</v>
      </c>
      <c r="CE8">
        <f t="shared" si="1"/>
        <v>0.78004999999999569</v>
      </c>
      <c r="CF8">
        <f t="shared" si="1"/>
        <v>0.79041999999999746</v>
      </c>
      <c r="CG8">
        <f t="shared" si="1"/>
        <v>0.78325999999999851</v>
      </c>
      <c r="CH8">
        <f t="shared" si="1"/>
        <v>0.7802599999999984</v>
      </c>
      <c r="CI8">
        <f t="shared" si="1"/>
        <v>0.78029999999999688</v>
      </c>
      <c r="CJ8">
        <f t="shared" si="1"/>
        <v>0.78061999999999898</v>
      </c>
      <c r="CK8">
        <f t="shared" si="1"/>
        <v>0.78061999999999898</v>
      </c>
      <c r="CL8">
        <f t="shared" si="1"/>
        <v>0.78061999999999898</v>
      </c>
      <c r="CM8">
        <f t="shared" si="1"/>
        <v>0.78061999999999898</v>
      </c>
      <c r="CN8">
        <f t="shared" si="1"/>
        <v>0.88758999999999588</v>
      </c>
      <c r="CO8">
        <f t="shared" si="1"/>
        <v>0.97502000000000066</v>
      </c>
      <c r="CP8">
        <f t="shared" si="1"/>
        <v>0.98537999999999926</v>
      </c>
      <c r="CQ8">
        <f t="shared" si="1"/>
        <v>0.97822999999999638</v>
      </c>
      <c r="CR8">
        <f t="shared" si="1"/>
        <v>0.97522999999999627</v>
      </c>
      <c r="CS8">
        <f t="shared" si="1"/>
        <v>0.97525999999999868</v>
      </c>
      <c r="CT8">
        <f t="shared" si="1"/>
        <v>0.97558999999999685</v>
      </c>
      <c r="CU8">
        <f t="shared" si="1"/>
        <v>0.97558999999999685</v>
      </c>
      <c r="CV8">
        <f t="shared" si="1"/>
        <v>0.97558999999999685</v>
      </c>
      <c r="CW8">
        <f t="shared" si="1"/>
        <v>0.97558999999999685</v>
      </c>
      <c r="CX8">
        <f t="shared" si="1"/>
        <v>1.0825099999999992</v>
      </c>
      <c r="CY8">
        <f t="shared" si="1"/>
        <v>1.1699399999999969</v>
      </c>
      <c r="CZ8">
        <f t="shared" si="1"/>
        <v>1.1802999999999955</v>
      </c>
      <c r="DA8">
        <f t="shared" si="1"/>
        <v>1.1731399999999965</v>
      </c>
      <c r="DB8">
        <f t="shared" si="1"/>
        <v>1.1701399999999964</v>
      </c>
      <c r="DC8">
        <f t="shared" si="1"/>
        <v>1.1701699999999988</v>
      </c>
      <c r="DD8">
        <f t="shared" si="1"/>
        <v>1.170499999999997</v>
      </c>
      <c r="DE8">
        <f t="shared" si="1"/>
        <v>1.170499999999997</v>
      </c>
      <c r="DF8">
        <f t="shared" si="1"/>
        <v>1.170499999999997</v>
      </c>
      <c r="DG8">
        <f t="shared" si="1"/>
        <v>1.170499999999997</v>
      </c>
      <c r="DH8">
        <f t="shared" si="1"/>
        <v>1.2773899999999969</v>
      </c>
      <c r="DI8">
        <f t="shared" si="1"/>
        <v>1.3647899999999993</v>
      </c>
      <c r="DJ8">
        <f t="shared" si="1"/>
        <v>1.375160000000001</v>
      </c>
      <c r="DK8">
        <f t="shared" si="1"/>
        <v>1.367999999999995</v>
      </c>
      <c r="DL8">
        <f t="shared" si="1"/>
        <v>1.3649999999999949</v>
      </c>
      <c r="DM8">
        <f t="shared" si="1"/>
        <v>1.3650299999999973</v>
      </c>
      <c r="DN8">
        <f t="shared" si="1"/>
        <v>1.3653599999999955</v>
      </c>
      <c r="DO8">
        <f t="shared" si="1"/>
        <v>1.3653599999999955</v>
      </c>
      <c r="DP8">
        <f t="shared" si="1"/>
        <v>1.3653599999999955</v>
      </c>
      <c r="DQ8">
        <f t="shared" si="1"/>
        <v>1.3653599999999955</v>
      </c>
      <c r="DR8">
        <f t="shared" si="1"/>
        <v>1.4722099999999969</v>
      </c>
      <c r="DS8">
        <f t="shared" si="1"/>
        <v>1.5595999999999961</v>
      </c>
      <c r="DT8">
        <f t="shared" si="1"/>
        <v>1.5699699999999979</v>
      </c>
      <c r="DU8">
        <f t="shared" si="1"/>
        <v>1.5627999999999957</v>
      </c>
      <c r="DV8">
        <f t="shared" si="1"/>
        <v>1.5597999999999956</v>
      </c>
      <c r="DW8">
        <f t="shared" si="1"/>
        <v>1.5598400000000012</v>
      </c>
      <c r="DX8">
        <f t="shared" si="1"/>
        <v>1.5601599999999962</v>
      </c>
      <c r="DY8">
        <f t="shared" si="1"/>
        <v>1.5601599999999962</v>
      </c>
      <c r="DZ8">
        <f t="shared" ref="DZ8:GK8" si="2">-DZ7+$AX$7</f>
        <v>1.5601599999999962</v>
      </c>
      <c r="EA8">
        <f t="shared" si="2"/>
        <v>1.5601599999999962</v>
      </c>
      <c r="EB8">
        <f t="shared" si="2"/>
        <v>1.666959999999996</v>
      </c>
      <c r="EC8">
        <f t="shared" si="2"/>
        <v>1.7543399999999991</v>
      </c>
      <c r="ED8">
        <f t="shared" si="2"/>
        <v>1.7647100000000009</v>
      </c>
      <c r="EE8">
        <f t="shared" si="2"/>
        <v>1.7575399999999988</v>
      </c>
      <c r="EF8">
        <f t="shared" si="2"/>
        <v>1.7545399999999987</v>
      </c>
      <c r="EG8">
        <f t="shared" si="2"/>
        <v>1.7545799999999971</v>
      </c>
      <c r="EH8">
        <f t="shared" si="2"/>
        <v>1.7548999999999992</v>
      </c>
      <c r="EI8">
        <f t="shared" si="2"/>
        <v>1.7548999999999992</v>
      </c>
      <c r="EJ8">
        <f t="shared" si="2"/>
        <v>1.7548999999999992</v>
      </c>
      <c r="EK8">
        <f t="shared" si="2"/>
        <v>1.7548999999999992</v>
      </c>
      <c r="EL8">
        <f t="shared" si="2"/>
        <v>1.8616600000000005</v>
      </c>
      <c r="EM8">
        <f t="shared" si="2"/>
        <v>1.9490300000000005</v>
      </c>
      <c r="EN8">
        <f t="shared" si="2"/>
        <v>1.9593999999999951</v>
      </c>
      <c r="EO8">
        <f t="shared" si="2"/>
        <v>1.9522399999999962</v>
      </c>
      <c r="EP8">
        <f t="shared" si="2"/>
        <v>1.94923</v>
      </c>
      <c r="EQ8">
        <f t="shared" si="2"/>
        <v>1.9492699999999985</v>
      </c>
      <c r="ER8">
        <f t="shared" si="2"/>
        <v>1.9495900000000006</v>
      </c>
      <c r="ES8">
        <f t="shared" si="2"/>
        <v>1.9495900000000006</v>
      </c>
      <c r="ET8">
        <f t="shared" si="2"/>
        <v>1.9495900000000006</v>
      </c>
      <c r="EU8">
        <f t="shared" si="2"/>
        <v>1.9495900000000006</v>
      </c>
      <c r="EV8">
        <f t="shared" si="2"/>
        <v>2.0563099999999963</v>
      </c>
      <c r="EW8">
        <f t="shared" si="2"/>
        <v>2.1436500000000009</v>
      </c>
      <c r="EX8">
        <f t="shared" si="2"/>
        <v>2.1540299999999988</v>
      </c>
      <c r="EY8">
        <f t="shared" si="2"/>
        <v>2.1468599999999967</v>
      </c>
      <c r="EZ8">
        <f t="shared" si="2"/>
        <v>2.1438599999999965</v>
      </c>
      <c r="FA8">
        <f t="shared" si="2"/>
        <v>2.143889999999999</v>
      </c>
      <c r="FB8">
        <f t="shared" si="2"/>
        <v>2.1442100000000011</v>
      </c>
      <c r="FC8">
        <f t="shared" si="2"/>
        <v>2.1442100000000011</v>
      </c>
      <c r="FD8">
        <f t="shared" si="2"/>
        <v>2.1442100000000011</v>
      </c>
      <c r="FE8">
        <f t="shared" si="2"/>
        <v>2.1442100000000011</v>
      </c>
      <c r="FF8">
        <f t="shared" si="2"/>
        <v>2.2508899999999983</v>
      </c>
      <c r="FG8">
        <f t="shared" si="2"/>
        <v>2.3382199999999997</v>
      </c>
      <c r="FH8">
        <f t="shared" si="2"/>
        <v>2.3485999999999976</v>
      </c>
      <c r="FI8">
        <f t="shared" si="2"/>
        <v>2.3414299999999955</v>
      </c>
      <c r="FJ8">
        <f t="shared" si="2"/>
        <v>2.3384199999999993</v>
      </c>
      <c r="FK8">
        <f t="shared" si="2"/>
        <v>2.3384499999999946</v>
      </c>
      <c r="FL8">
        <f t="shared" si="2"/>
        <v>2.3387799999999999</v>
      </c>
      <c r="FM8">
        <f t="shared" si="2"/>
        <v>2.3387799999999999</v>
      </c>
      <c r="FN8">
        <f t="shared" si="2"/>
        <v>2.3387799999999999</v>
      </c>
      <c r="FO8">
        <f t="shared" si="2"/>
        <v>2.3387799999999999</v>
      </c>
      <c r="FP8">
        <f t="shared" si="2"/>
        <v>2.4453999999999994</v>
      </c>
      <c r="FQ8">
        <f t="shared" si="2"/>
        <v>2.5327199999999976</v>
      </c>
      <c r="FR8">
        <f t="shared" si="2"/>
        <v>2.5431099999999986</v>
      </c>
      <c r="FS8">
        <f t="shared" si="2"/>
        <v>2.5359399999999965</v>
      </c>
      <c r="FT8">
        <f t="shared" si="2"/>
        <v>2.5329199999999972</v>
      </c>
      <c r="FU8">
        <f t="shared" si="2"/>
        <v>2.5329499999999996</v>
      </c>
      <c r="FV8">
        <f t="shared" si="2"/>
        <v>2.5332799999999978</v>
      </c>
      <c r="FW8">
        <f t="shared" si="2"/>
        <v>2.5332799999999978</v>
      </c>
      <c r="FX8">
        <f t="shared" si="2"/>
        <v>2.5332799999999978</v>
      </c>
      <c r="FY8">
        <f t="shared" si="2"/>
        <v>2.5332799999999978</v>
      </c>
      <c r="FZ8">
        <f t="shared" si="2"/>
        <v>2.6398599999999988</v>
      </c>
      <c r="GA8">
        <f t="shared" si="2"/>
        <v>2.7271599999999978</v>
      </c>
      <c r="GB8">
        <f t="shared" si="2"/>
        <v>2.7375499999999988</v>
      </c>
      <c r="GC8">
        <f t="shared" si="2"/>
        <v>2.7303799999999967</v>
      </c>
      <c r="GD8">
        <f t="shared" si="2"/>
        <v>2.7273599999999973</v>
      </c>
      <c r="GE8">
        <f t="shared" si="2"/>
        <v>2.7273899999999998</v>
      </c>
      <c r="GF8">
        <f t="shared" si="2"/>
        <v>2.7277199999999979</v>
      </c>
      <c r="GG8">
        <f t="shared" si="2"/>
        <v>2.7277199999999979</v>
      </c>
      <c r="GH8">
        <f t="shared" si="2"/>
        <v>2.7277199999999979</v>
      </c>
      <c r="GI8">
        <f t="shared" si="2"/>
        <v>2.7277199999999979</v>
      </c>
      <c r="GJ8">
        <f t="shared" si="2"/>
        <v>2.8342600000000004</v>
      </c>
      <c r="GK8">
        <f t="shared" si="2"/>
        <v>2.9215400000000002</v>
      </c>
      <c r="GL8">
        <f t="shared" ref="GL8:IW8" si="3">-GL7+$AX$7</f>
        <v>2.9319300000000013</v>
      </c>
      <c r="GM8">
        <f t="shared" si="3"/>
        <v>2.9247599999999991</v>
      </c>
      <c r="GN8">
        <f t="shared" si="3"/>
        <v>2.9217399999999998</v>
      </c>
      <c r="GO8">
        <f t="shared" si="3"/>
        <v>2.9217699999999951</v>
      </c>
      <c r="GP8">
        <f t="shared" si="3"/>
        <v>2.9221000000000004</v>
      </c>
      <c r="GQ8">
        <f t="shared" si="3"/>
        <v>2.9221000000000004</v>
      </c>
      <c r="GR8">
        <f t="shared" si="3"/>
        <v>2.9221000000000004</v>
      </c>
      <c r="GS8">
        <f t="shared" si="3"/>
        <v>2.9221000000000004</v>
      </c>
      <c r="GT8">
        <f t="shared" si="3"/>
        <v>3.0285900000000012</v>
      </c>
      <c r="GU8">
        <f t="shared" si="3"/>
        <v>3.1158499999999947</v>
      </c>
      <c r="GV8">
        <f t="shared" si="3"/>
        <v>3.1262499999999989</v>
      </c>
      <c r="GW8">
        <f t="shared" si="3"/>
        <v>3.1190700000000007</v>
      </c>
      <c r="GX8">
        <f t="shared" si="3"/>
        <v>3.1160499999999942</v>
      </c>
      <c r="GY8">
        <f t="shared" si="3"/>
        <v>3.1160899999999998</v>
      </c>
      <c r="GZ8">
        <f t="shared" si="3"/>
        <v>3.1164099999999948</v>
      </c>
      <c r="HA8">
        <f t="shared" si="3"/>
        <v>3.1164099999999948</v>
      </c>
      <c r="HB8">
        <f t="shared" si="3"/>
        <v>3.1164099999999948</v>
      </c>
      <c r="HC8">
        <f t="shared" si="3"/>
        <v>3.1164099999999948</v>
      </c>
      <c r="HD8">
        <f t="shared" si="3"/>
        <v>3.2228500000000011</v>
      </c>
      <c r="HE8">
        <f t="shared" si="3"/>
        <v>3.3100999999999985</v>
      </c>
      <c r="HF8">
        <f t="shared" si="3"/>
        <v>3.3204999999999956</v>
      </c>
      <c r="HG8">
        <f t="shared" si="3"/>
        <v>3.3133199999999974</v>
      </c>
      <c r="HH8">
        <f t="shared" si="3"/>
        <v>3.310299999999998</v>
      </c>
      <c r="HI8">
        <f t="shared" si="3"/>
        <v>3.3103399999999965</v>
      </c>
      <c r="HJ8">
        <f t="shared" si="3"/>
        <v>3.3106599999999986</v>
      </c>
      <c r="HK8">
        <f t="shared" si="3"/>
        <v>3.3106599999999986</v>
      </c>
      <c r="HL8">
        <f t="shared" si="3"/>
        <v>3.3106599999999986</v>
      </c>
      <c r="HM8">
        <f t="shared" si="3"/>
        <v>3.3106599999999986</v>
      </c>
      <c r="HN8">
        <f t="shared" si="3"/>
        <v>3.4170499999999961</v>
      </c>
      <c r="HO8">
        <f t="shared" si="3"/>
        <v>3.5042799999999943</v>
      </c>
      <c r="HP8">
        <f t="shared" si="3"/>
        <v>3.5146899999999945</v>
      </c>
      <c r="HQ8">
        <f t="shared" si="3"/>
        <v>3.5075099999999964</v>
      </c>
      <c r="HR8">
        <f t="shared" si="3"/>
        <v>3.504489999999997</v>
      </c>
      <c r="HS8">
        <f t="shared" si="3"/>
        <v>3.5045199999999994</v>
      </c>
      <c r="HT8">
        <f t="shared" si="3"/>
        <v>3.5048399999999944</v>
      </c>
      <c r="HU8">
        <f t="shared" si="3"/>
        <v>3.5048399999999944</v>
      </c>
      <c r="HV8">
        <f t="shared" si="3"/>
        <v>3.5048399999999944</v>
      </c>
      <c r="HW8">
        <f t="shared" si="3"/>
        <v>3.5048399999999944</v>
      </c>
      <c r="HX8">
        <f t="shared" si="3"/>
        <v>3.6111799999999974</v>
      </c>
      <c r="HY8">
        <f t="shared" si="3"/>
        <v>3.6983899999999963</v>
      </c>
      <c r="HZ8">
        <f t="shared" si="3"/>
        <v>3.7087999999999965</v>
      </c>
      <c r="IA8">
        <f t="shared" si="3"/>
        <v>3.7016199999999984</v>
      </c>
      <c r="IB8">
        <f t="shared" si="3"/>
        <v>3.6985899999999958</v>
      </c>
      <c r="IC8">
        <f t="shared" si="3"/>
        <v>3.6986199999999982</v>
      </c>
      <c r="ID8">
        <f t="shared" si="3"/>
        <v>3.6989499999999964</v>
      </c>
      <c r="IE8">
        <f t="shared" si="3"/>
        <v>3.6989499999999964</v>
      </c>
      <c r="IF8">
        <f t="shared" si="3"/>
        <v>3.6989499999999964</v>
      </c>
      <c r="IG8">
        <f t="shared" si="3"/>
        <v>3.6989499999999964</v>
      </c>
      <c r="IH8">
        <f t="shared" si="3"/>
        <v>3.8052399999999977</v>
      </c>
      <c r="II8">
        <f t="shared" si="3"/>
        <v>3.8924400000000006</v>
      </c>
      <c r="IJ8">
        <f t="shared" si="3"/>
        <v>3.9028500000000008</v>
      </c>
      <c r="IK8">
        <f t="shared" si="3"/>
        <v>3.8956699999999955</v>
      </c>
      <c r="IL8">
        <f t="shared" si="3"/>
        <v>3.8926400000000001</v>
      </c>
      <c r="IM8">
        <f t="shared" si="3"/>
        <v>3.8926699999999954</v>
      </c>
      <c r="IN8">
        <f t="shared" si="3"/>
        <v>3.8930000000000007</v>
      </c>
      <c r="IO8">
        <f t="shared" si="3"/>
        <v>3.8930000000000007</v>
      </c>
      <c r="IP8">
        <f t="shared" si="3"/>
        <v>3.8930000000000007</v>
      </c>
      <c r="IQ8">
        <f t="shared" si="3"/>
        <v>3.8930000000000007</v>
      </c>
      <c r="IR8">
        <f t="shared" si="3"/>
        <v>3.9992400000000004</v>
      </c>
      <c r="IS8">
        <f t="shared" si="3"/>
        <v>4.0864100000000008</v>
      </c>
      <c r="IT8">
        <f t="shared" si="3"/>
        <v>4.096820000000001</v>
      </c>
      <c r="IU8">
        <f t="shared" si="3"/>
        <v>4.0896399999999957</v>
      </c>
      <c r="IV8">
        <f t="shared" si="3"/>
        <v>4.0866100000000003</v>
      </c>
      <c r="IW8">
        <f t="shared" si="3"/>
        <v>4.0866399999999956</v>
      </c>
      <c r="IX8">
        <f t="shared" ref="IX8:LI8" si="4">-IX7+$AX$7</f>
        <v>4.0869700000000009</v>
      </c>
      <c r="IY8">
        <f t="shared" si="4"/>
        <v>4.0869700000000009</v>
      </c>
      <c r="IZ8">
        <f t="shared" si="4"/>
        <v>4.0869700000000009</v>
      </c>
      <c r="JA8">
        <f t="shared" si="4"/>
        <v>4.0869700000000009</v>
      </c>
      <c r="JB8">
        <f t="shared" si="4"/>
        <v>4.1931499999999957</v>
      </c>
      <c r="JC8">
        <f t="shared" si="4"/>
        <v>4.2803100000000001</v>
      </c>
      <c r="JD8">
        <f t="shared" si="4"/>
        <v>4.2907299999999964</v>
      </c>
      <c r="JE8">
        <f t="shared" si="4"/>
        <v>4.283539999999995</v>
      </c>
      <c r="JF8">
        <f t="shared" si="4"/>
        <v>4.2805099999999996</v>
      </c>
      <c r="JG8">
        <f t="shared" si="4"/>
        <v>4.2805399999999949</v>
      </c>
      <c r="JH8">
        <f t="shared" si="4"/>
        <v>4.2808700000000002</v>
      </c>
      <c r="JI8">
        <f t="shared" si="4"/>
        <v>4.2808700000000002</v>
      </c>
      <c r="JJ8">
        <f t="shared" si="4"/>
        <v>4.2808700000000002</v>
      </c>
      <c r="JK8">
        <f t="shared" si="4"/>
        <v>4.2808700000000002</v>
      </c>
      <c r="JL8">
        <f t="shared" si="4"/>
        <v>4.3870000000000005</v>
      </c>
      <c r="JM8">
        <f t="shared" si="4"/>
        <v>4.4741499999999945</v>
      </c>
      <c r="JN8">
        <f t="shared" si="4"/>
        <v>4.4845599999999948</v>
      </c>
      <c r="JO8">
        <f t="shared" si="4"/>
        <v>4.4773799999999966</v>
      </c>
      <c r="JP8">
        <f t="shared" si="4"/>
        <v>4.474339999999998</v>
      </c>
      <c r="JQ8">
        <f t="shared" si="4"/>
        <v>4.4743700000000004</v>
      </c>
      <c r="JR8">
        <f t="shared" si="4"/>
        <v>4.4746999999999986</v>
      </c>
      <c r="JS8">
        <f t="shared" si="4"/>
        <v>4.4746999999999986</v>
      </c>
      <c r="JT8">
        <f t="shared" si="4"/>
        <v>4.4746999999999986</v>
      </c>
      <c r="JU8">
        <f t="shared" si="4"/>
        <v>4.4746999999999986</v>
      </c>
      <c r="JV8">
        <f t="shared" si="4"/>
        <v>4.5807799999999972</v>
      </c>
      <c r="JW8">
        <f t="shared" si="4"/>
        <v>4.6678999999999959</v>
      </c>
      <c r="JX8">
        <f t="shared" si="4"/>
        <v>4.6783199999999994</v>
      </c>
      <c r="JY8">
        <f t="shared" si="4"/>
        <v>4.671129999999998</v>
      </c>
      <c r="JZ8">
        <f t="shared" si="4"/>
        <v>4.6680899999999994</v>
      </c>
      <c r="KA8">
        <f t="shared" si="4"/>
        <v>4.6681199999999947</v>
      </c>
      <c r="KB8">
        <f t="shared" si="4"/>
        <v>4.6684599999999961</v>
      </c>
      <c r="KC8">
        <f t="shared" si="4"/>
        <v>4.6684599999999961</v>
      </c>
      <c r="KD8">
        <f t="shared" si="4"/>
        <v>4.6684599999999961</v>
      </c>
      <c r="KE8">
        <f t="shared" si="4"/>
        <v>4.6684599999999961</v>
      </c>
      <c r="KF8">
        <f t="shared" si="4"/>
        <v>4.7744700000000009</v>
      </c>
      <c r="KG8">
        <f t="shared" si="4"/>
        <v>4.8615799999999965</v>
      </c>
      <c r="KH8">
        <f t="shared" si="4"/>
        <v>4.8719999999999999</v>
      </c>
      <c r="KI8">
        <f t="shared" si="4"/>
        <v>4.8648099999999985</v>
      </c>
      <c r="KJ8">
        <f t="shared" si="4"/>
        <v>4.8617699999999999</v>
      </c>
      <c r="KK8">
        <f t="shared" si="4"/>
        <v>4.8617999999999952</v>
      </c>
      <c r="KL8">
        <f t="shared" si="4"/>
        <v>4.8621300000000005</v>
      </c>
      <c r="KM8">
        <f t="shared" si="4"/>
        <v>4.8621300000000005</v>
      </c>
      <c r="KN8">
        <f t="shared" si="4"/>
        <v>4.8621300000000005</v>
      </c>
      <c r="KO8">
        <f t="shared" si="4"/>
        <v>4.8621300000000005</v>
      </c>
      <c r="KP8">
        <f t="shared" si="4"/>
        <v>4.9680999999999997</v>
      </c>
      <c r="KQ8">
        <f t="shared" si="4"/>
        <v>5.05518</v>
      </c>
      <c r="KR8">
        <f t="shared" si="4"/>
        <v>5.0656099999999995</v>
      </c>
      <c r="KS8">
        <f t="shared" si="4"/>
        <v>5.0584199999999981</v>
      </c>
      <c r="KT8">
        <f t="shared" si="4"/>
        <v>5.0553699999999964</v>
      </c>
      <c r="KU8">
        <f t="shared" si="4"/>
        <v>5.0553999999999988</v>
      </c>
      <c r="KV8">
        <f t="shared" si="4"/>
        <v>5.0557400000000001</v>
      </c>
      <c r="KW8">
        <f t="shared" si="4"/>
        <v>5.0557400000000001</v>
      </c>
      <c r="KX8">
        <f t="shared" si="4"/>
        <v>5.0557400000000001</v>
      </c>
      <c r="KY8">
        <f t="shared" si="4"/>
        <v>5.0557400000000001</v>
      </c>
      <c r="KZ8">
        <f t="shared" si="4"/>
        <v>5.1616399999999985</v>
      </c>
      <c r="LA8">
        <f t="shared" si="4"/>
        <v>5.2486999999999995</v>
      </c>
      <c r="LB8">
        <f t="shared" si="4"/>
        <v>5.259139999999995</v>
      </c>
      <c r="LC8">
        <f t="shared" si="4"/>
        <v>5.2519399999999976</v>
      </c>
      <c r="LD8">
        <f t="shared" si="4"/>
        <v>5.248899999999999</v>
      </c>
      <c r="LE8">
        <f t="shared" si="4"/>
        <v>5.2489199999999983</v>
      </c>
      <c r="LF8">
        <f t="shared" si="4"/>
        <v>5.2492599999999996</v>
      </c>
      <c r="LG8">
        <f t="shared" si="4"/>
        <v>5.2492599999999996</v>
      </c>
      <c r="LH8">
        <f t="shared" si="4"/>
        <v>5.2492599999999996</v>
      </c>
      <c r="LI8">
        <f t="shared" si="4"/>
        <v>5.2492599999999996</v>
      </c>
      <c r="LJ8">
        <f t="shared" ref="LJ8:NU8" si="5">-LJ7+$AX$7</f>
        <v>5.3551099999999963</v>
      </c>
      <c r="LK8">
        <f t="shared" si="5"/>
        <v>5.442149999999998</v>
      </c>
      <c r="LL8">
        <f t="shared" si="5"/>
        <v>5.4525899999999972</v>
      </c>
      <c r="LM8">
        <f t="shared" si="5"/>
        <v>5.4453899999999962</v>
      </c>
      <c r="LN8">
        <f t="shared" si="5"/>
        <v>5.442339999999998</v>
      </c>
      <c r="LO8">
        <f t="shared" si="5"/>
        <v>5.4423699999999968</v>
      </c>
      <c r="LP8">
        <f t="shared" si="5"/>
        <v>5.4426999999999985</v>
      </c>
      <c r="LQ8">
        <f t="shared" si="5"/>
        <v>5.4426999999999985</v>
      </c>
      <c r="LR8">
        <f t="shared" si="5"/>
        <v>5.4426999999999985</v>
      </c>
      <c r="LS8">
        <f t="shared" si="5"/>
        <v>5.4426999999999985</v>
      </c>
      <c r="LT8">
        <f t="shared" si="5"/>
        <v>5.5484899999999975</v>
      </c>
      <c r="LU8">
        <f t="shared" si="5"/>
        <v>5.6355099999999965</v>
      </c>
      <c r="LV8">
        <f t="shared" si="5"/>
        <v>5.6459599999999988</v>
      </c>
      <c r="LW8">
        <f t="shared" si="5"/>
        <v>5.6387499999999982</v>
      </c>
      <c r="LX8">
        <f t="shared" si="5"/>
        <v>5.6356999999999964</v>
      </c>
      <c r="LY8">
        <f t="shared" si="5"/>
        <v>5.6357299999999988</v>
      </c>
      <c r="LZ8">
        <f t="shared" si="5"/>
        <v>5.636059999999997</v>
      </c>
      <c r="MA8">
        <f t="shared" si="5"/>
        <v>5.636059999999997</v>
      </c>
      <c r="MB8">
        <f t="shared" si="5"/>
        <v>5.636059999999997</v>
      </c>
      <c r="MC8">
        <f t="shared" si="5"/>
        <v>5.636059999999997</v>
      </c>
      <c r="MD8">
        <f t="shared" si="5"/>
        <v>5.7417899999999982</v>
      </c>
      <c r="ME8">
        <f t="shared" si="5"/>
        <v>5.8287899999999979</v>
      </c>
      <c r="MF8">
        <f t="shared" si="5"/>
        <v>5.8392399999999967</v>
      </c>
      <c r="MG8">
        <f t="shared" si="5"/>
        <v>5.8320299999999961</v>
      </c>
      <c r="MH8">
        <f t="shared" si="5"/>
        <v>5.8289799999999978</v>
      </c>
      <c r="MI8">
        <f t="shared" si="5"/>
        <v>5.8290099999999967</v>
      </c>
      <c r="MJ8">
        <f t="shared" si="5"/>
        <v>5.8293399999999984</v>
      </c>
      <c r="MK8">
        <f t="shared" si="5"/>
        <v>5.8293399999999984</v>
      </c>
      <c r="ML8">
        <f t="shared" si="5"/>
        <v>5.8293399999999984</v>
      </c>
      <c r="MM8">
        <f t="shared" si="5"/>
        <v>5.8293399999999984</v>
      </c>
      <c r="MN8">
        <f t="shared" si="5"/>
        <v>5.9350099999999983</v>
      </c>
      <c r="MO8">
        <f t="shared" si="5"/>
        <v>6.0219799999999992</v>
      </c>
      <c r="MP8">
        <f t="shared" si="5"/>
        <v>6.0324399999999976</v>
      </c>
      <c r="MQ8">
        <f t="shared" si="5"/>
        <v>6.025229999999997</v>
      </c>
      <c r="MR8">
        <f t="shared" si="5"/>
        <v>6.0221799999999988</v>
      </c>
      <c r="MS8">
        <f t="shared" si="5"/>
        <v>6.022199999999998</v>
      </c>
      <c r="MT8">
        <f t="shared" si="5"/>
        <v>6.0225399999999993</v>
      </c>
      <c r="MU8">
        <f t="shared" si="5"/>
        <v>6.0225399999999993</v>
      </c>
      <c r="MV8">
        <f t="shared" si="5"/>
        <v>6.0225399999999993</v>
      </c>
      <c r="MW8">
        <f t="shared" si="5"/>
        <v>6.0225399999999993</v>
      </c>
      <c r="MX8">
        <f t="shared" si="5"/>
        <v>6.1281399999999984</v>
      </c>
      <c r="MY8">
        <f t="shared" si="5"/>
        <v>6.2150999999999961</v>
      </c>
      <c r="MZ8">
        <f t="shared" si="5"/>
        <v>6.2255499999999984</v>
      </c>
      <c r="NA8">
        <f t="shared" si="5"/>
        <v>6.2183499999999974</v>
      </c>
      <c r="NB8">
        <f t="shared" si="5"/>
        <v>6.215289999999996</v>
      </c>
      <c r="NC8">
        <f t="shared" si="5"/>
        <v>6.2153099999999988</v>
      </c>
      <c r="ND8">
        <f t="shared" si="5"/>
        <v>6.2156499999999966</v>
      </c>
      <c r="NE8">
        <f t="shared" si="5"/>
        <v>6.2156499999999966</v>
      </c>
      <c r="NF8">
        <f t="shared" si="5"/>
        <v>6.2156499999999966</v>
      </c>
      <c r="NG8">
        <f t="shared" si="5"/>
        <v>6.2156499999999966</v>
      </c>
      <c r="NH8">
        <f t="shared" si="5"/>
        <v>6.3211899999999979</v>
      </c>
      <c r="NI8">
        <f t="shared" si="5"/>
        <v>6.4081199999999967</v>
      </c>
      <c r="NJ8">
        <f t="shared" si="5"/>
        <v>6.4185799999999986</v>
      </c>
      <c r="NK8">
        <f t="shared" si="5"/>
        <v>6.411369999999998</v>
      </c>
      <c r="NL8">
        <f t="shared" si="5"/>
        <v>6.4083099999999966</v>
      </c>
      <c r="NM8">
        <f t="shared" si="5"/>
        <v>6.4083299999999994</v>
      </c>
      <c r="NN8">
        <f t="shared" si="5"/>
        <v>6.4086699999999972</v>
      </c>
      <c r="NO8">
        <f t="shared" si="5"/>
        <v>6.4086699999999972</v>
      </c>
      <c r="NP8">
        <f t="shared" si="5"/>
        <v>6.4086699999999972</v>
      </c>
      <c r="NQ8">
        <f t="shared" si="5"/>
        <v>6.4086699999999972</v>
      </c>
      <c r="NR8">
        <f t="shared" si="5"/>
        <v>6.5141399999999976</v>
      </c>
      <c r="NS8">
        <f t="shared" si="5"/>
        <v>6.6010499999999972</v>
      </c>
      <c r="NT8">
        <f t="shared" si="5"/>
        <v>6.6115199999999987</v>
      </c>
      <c r="NU8">
        <f t="shared" si="5"/>
        <v>6.6043099999999981</v>
      </c>
      <c r="NV8">
        <f t="shared" ref="NV8:QG8" si="6">-NV7+$AX$7</f>
        <v>6.6012399999999971</v>
      </c>
      <c r="NW8">
        <f t="shared" si="6"/>
        <v>6.601269999999996</v>
      </c>
      <c r="NX8">
        <f t="shared" si="6"/>
        <v>6.6015999999999977</v>
      </c>
      <c r="NY8">
        <f t="shared" si="6"/>
        <v>6.6015999999999977</v>
      </c>
      <c r="NZ8">
        <f t="shared" si="6"/>
        <v>6.6015999999999977</v>
      </c>
      <c r="OA8">
        <f t="shared" si="6"/>
        <v>6.6015999999999977</v>
      </c>
      <c r="OB8">
        <f t="shared" si="6"/>
        <v>6.7070099999999968</v>
      </c>
      <c r="OC8">
        <f t="shared" si="6"/>
        <v>6.7938999999999972</v>
      </c>
      <c r="OD8">
        <f t="shared" si="6"/>
        <v>6.8043699999999987</v>
      </c>
      <c r="OE8">
        <f t="shared" si="6"/>
        <v>6.7971499999999985</v>
      </c>
      <c r="OF8">
        <f t="shared" si="6"/>
        <v>6.7940799999999975</v>
      </c>
      <c r="OG8">
        <f t="shared" si="6"/>
        <v>6.7941099999999963</v>
      </c>
      <c r="OH8">
        <f t="shared" si="6"/>
        <v>6.7944499999999977</v>
      </c>
      <c r="OI8">
        <f t="shared" si="6"/>
        <v>6.7944499999999977</v>
      </c>
      <c r="OJ8">
        <f t="shared" si="6"/>
        <v>6.7944499999999977</v>
      </c>
      <c r="OK8">
        <f t="shared" si="6"/>
        <v>6.7944499999999977</v>
      </c>
      <c r="OL8">
        <f t="shared" si="6"/>
        <v>6.8997799999999962</v>
      </c>
      <c r="OM8">
        <f t="shared" si="6"/>
        <v>6.9866499999999974</v>
      </c>
      <c r="ON8">
        <f t="shared" si="6"/>
        <v>6.9971199999999989</v>
      </c>
      <c r="OO8">
        <f t="shared" si="6"/>
        <v>6.9899099999999983</v>
      </c>
      <c r="OP8">
        <f t="shared" si="6"/>
        <v>6.9868299999999977</v>
      </c>
      <c r="OQ8">
        <f t="shared" si="6"/>
        <v>6.9868599999999965</v>
      </c>
      <c r="OR8">
        <f t="shared" si="6"/>
        <v>6.9871899999999982</v>
      </c>
      <c r="OS8">
        <f t="shared" si="6"/>
        <v>6.9871899999999982</v>
      </c>
      <c r="OT8">
        <f t="shared" si="6"/>
        <v>6.9871899999999982</v>
      </c>
      <c r="OU8">
        <f t="shared" si="6"/>
        <v>6.9871899999999982</v>
      </c>
      <c r="OV8">
        <f t="shared" si="6"/>
        <v>7.0924699999999987</v>
      </c>
      <c r="OW8">
        <f t="shared" si="6"/>
        <v>7.1792999999999978</v>
      </c>
      <c r="OX8">
        <f t="shared" si="6"/>
        <v>7.1897799999999989</v>
      </c>
      <c r="OY8">
        <f t="shared" si="6"/>
        <v>7.1825599999999987</v>
      </c>
      <c r="OZ8">
        <f t="shared" si="6"/>
        <v>7.1794899999999977</v>
      </c>
      <c r="PA8">
        <f t="shared" si="6"/>
        <v>7.1795099999999969</v>
      </c>
      <c r="PB8">
        <f t="shared" si="6"/>
        <v>7.1798499999999983</v>
      </c>
      <c r="PC8">
        <f t="shared" si="6"/>
        <v>7.1798499999999983</v>
      </c>
      <c r="PD8">
        <f t="shared" si="6"/>
        <v>7.1798499999999983</v>
      </c>
      <c r="PE8">
        <f t="shared" si="6"/>
        <v>7.1798499999999983</v>
      </c>
      <c r="PF8">
        <f t="shared" si="6"/>
        <v>7.2850499999999982</v>
      </c>
      <c r="PG8">
        <f t="shared" si="6"/>
        <v>7.3718599999999981</v>
      </c>
      <c r="PH8">
        <f t="shared" si="6"/>
        <v>7.3823499999999989</v>
      </c>
      <c r="PI8">
        <f t="shared" si="6"/>
        <v>7.3751299999999986</v>
      </c>
      <c r="PJ8">
        <f t="shared" si="6"/>
        <v>7.372049999999998</v>
      </c>
      <c r="PK8">
        <f t="shared" si="6"/>
        <v>7.3720699999999972</v>
      </c>
      <c r="PL8">
        <f t="shared" si="6"/>
        <v>7.3724099999999986</v>
      </c>
      <c r="PM8">
        <f t="shared" si="6"/>
        <v>7.3724099999999986</v>
      </c>
      <c r="PN8">
        <f t="shared" si="6"/>
        <v>7.3724099999999986</v>
      </c>
      <c r="PO8">
        <f t="shared" si="6"/>
        <v>7.3724099999999986</v>
      </c>
      <c r="PP8">
        <f t="shared" si="6"/>
        <v>7.4775399999999976</v>
      </c>
      <c r="PQ8">
        <f t="shared" si="6"/>
        <v>7.5643299999999982</v>
      </c>
      <c r="PR8">
        <f t="shared" si="6"/>
        <v>7.5748099999999994</v>
      </c>
      <c r="PS8">
        <f t="shared" si="6"/>
        <v>7.5675899999999992</v>
      </c>
      <c r="PT8">
        <f t="shared" si="6"/>
        <v>7.5645099999999985</v>
      </c>
      <c r="PU8">
        <f t="shared" si="6"/>
        <v>7.5645399999999974</v>
      </c>
      <c r="PV8">
        <f t="shared" si="6"/>
        <v>7.5648699999999991</v>
      </c>
      <c r="PW8">
        <f t="shared" si="6"/>
        <v>7.5648699999999991</v>
      </c>
      <c r="PX8">
        <f t="shared" si="6"/>
        <v>7.5648699999999991</v>
      </c>
      <c r="PY8">
        <f t="shared" si="6"/>
        <v>7.5648699999999991</v>
      </c>
      <c r="PZ8">
        <f t="shared" si="6"/>
        <v>7.6699299999999972</v>
      </c>
      <c r="QA8">
        <f t="shared" si="6"/>
        <v>7.756689999999999</v>
      </c>
      <c r="QB8">
        <f t="shared" si="6"/>
        <v>7.7671899999999994</v>
      </c>
      <c r="QC8">
        <f t="shared" si="6"/>
        <v>7.759959999999996</v>
      </c>
      <c r="QD8">
        <f t="shared" si="6"/>
        <v>7.7568699999999993</v>
      </c>
      <c r="QE8">
        <f t="shared" si="6"/>
        <v>7.7568999999999981</v>
      </c>
      <c r="QF8">
        <f t="shared" si="6"/>
        <v>7.7572399999999995</v>
      </c>
      <c r="QG8">
        <f t="shared" si="6"/>
        <v>7.7572399999999995</v>
      </c>
      <c r="QH8">
        <f t="shared" ref="QH8:QM8" si="7">-QH7+$AX$7</f>
        <v>7.7572399999999995</v>
      </c>
      <c r="QI8">
        <f t="shared" si="7"/>
        <v>7.7572399999999995</v>
      </c>
      <c r="QJ8">
        <f t="shared" si="7"/>
        <v>7.8622199999999971</v>
      </c>
      <c r="QK8">
        <f t="shared" si="7"/>
        <v>7.9489499999999964</v>
      </c>
      <c r="QL8">
        <f t="shared" si="7"/>
        <v>7.9594499999999968</v>
      </c>
      <c r="QM8">
        <f t="shared" si="7"/>
        <v>7.952219999999997</v>
      </c>
      <c r="QN8">
        <f t="shared" ref="QN8" si="8">-QN7+$AX$7</f>
        <v>7.9491299999999967</v>
      </c>
      <c r="QO8">
        <f t="shared" ref="QO8" si="9">-QO7+$AX$7</f>
        <v>7.9491599999999991</v>
      </c>
      <c r="QP8">
        <f t="shared" ref="QP8" si="10">-QP7+$AX$7</f>
        <v>7.9494999999999969</v>
      </c>
      <c r="QQ8">
        <f t="shared" ref="QQ8" si="11">-QQ7+$AX$7</f>
        <v>7.9494999999999969</v>
      </c>
      <c r="QR8">
        <f t="shared" ref="QR8" si="12">-QR7+$AX$7</f>
        <v>7.9494999999999969</v>
      </c>
      <c r="QS8">
        <f t="shared" ref="QS8" si="13">-QS7+$AX$7</f>
        <v>7.9494999999999969</v>
      </c>
      <c r="QT8">
        <f t="shared" ref="QT8" si="14">-QT7+$AX$7</f>
        <v>8.0543999999999976</v>
      </c>
      <c r="QU8">
        <f t="shared" ref="QU8" si="15">-QU7+$AX$7</f>
        <v>8.1411099999999976</v>
      </c>
      <c r="QV8">
        <f t="shared" ref="QV8" si="16">-QV7+$AX$7</f>
        <v>8.1516199999999976</v>
      </c>
      <c r="QW8">
        <f t="shared" ref="QW8" si="17">-QW7+$AX$7</f>
        <v>8.1443899999999978</v>
      </c>
      <c r="QX8">
        <f t="shared" ref="QX8" si="18">-QX7+$AX$7</f>
        <v>8.1412899999999979</v>
      </c>
      <c r="QY8">
        <f t="shared" ref="QY8" si="19">-QY7+$AX$7</f>
        <v>8.1413199999999968</v>
      </c>
      <c r="QZ8">
        <f t="shared" ref="QZ8" si="20">-QZ7+$AX$7</f>
        <v>8.1416599999999981</v>
      </c>
      <c r="RA8">
        <f t="shared" ref="RA8" si="21">-RA7+$AX$7</f>
        <v>8.1416599999999981</v>
      </c>
      <c r="RB8">
        <f t="shared" ref="RB8" si="22">-RB7+$AX$7</f>
        <v>8.1416599999999981</v>
      </c>
      <c r="RC8">
        <f t="shared" ref="RC8" si="23">-RC7+$AX$7</f>
        <v>8.1416599999999981</v>
      </c>
      <c r="RD8">
        <f t="shared" ref="RD8" si="24">-RD7+$AX$7</f>
        <v>8.2464899999999979</v>
      </c>
      <c r="RE8">
        <f t="shared" ref="RE8" si="25">-RE7+$AX$7</f>
        <v>8.3331599999999995</v>
      </c>
      <c r="RF8">
        <f t="shared" ref="RF8" si="26">-RF7+$AX$7</f>
        <v>8.3436699999999995</v>
      </c>
      <c r="RG8">
        <f t="shared" ref="RG8" si="27">-RG7+$AX$7</f>
        <v>8.3364399999999961</v>
      </c>
      <c r="RH8">
        <f t="shared" ref="RH8" si="28">-RH7+$AX$7</f>
        <v>8.3333399999999962</v>
      </c>
      <c r="RI8">
        <f t="shared" ref="RI8" si="29">-RI7+$AX$7</f>
        <v>8.3333699999999986</v>
      </c>
      <c r="RJ8">
        <f t="shared" ref="RJ8" si="30">-RJ7+$AX$7</f>
        <v>8.3337099999999964</v>
      </c>
      <c r="RK8">
        <f t="shared" ref="RK8" si="31">-RK7+$AX$7</f>
        <v>8.3337099999999964</v>
      </c>
      <c r="RL8">
        <f t="shared" ref="RL8" si="32">-RL7+$AX$7</f>
        <v>8.3337099999999964</v>
      </c>
      <c r="RM8">
        <f t="shared" ref="RM8" si="33">-RM7+$AX$7</f>
        <v>8.3337099999999964</v>
      </c>
      <c r="RN8">
        <f t="shared" ref="RN8" si="34">-RN7+$AX$7</f>
        <v>8.4384599999999992</v>
      </c>
      <c r="RO8">
        <f t="shared" ref="RO8" si="35">-RO7+$AX$7</f>
        <v>8.525109999999998</v>
      </c>
      <c r="RP8">
        <f t="shared" ref="RP8" si="36">-RP7+$AX$7</f>
        <v>8.535619999999998</v>
      </c>
      <c r="RQ8">
        <f t="shared" ref="RQ8" si="37">-RQ7+$AX$7</f>
        <v>8.5283899999999981</v>
      </c>
      <c r="RR8">
        <f t="shared" ref="RR8" si="38">-RR7+$AX$7</f>
        <v>8.5252899999999983</v>
      </c>
      <c r="RS8">
        <f t="shared" ref="RS8" si="39">-RS7+$AX$7</f>
        <v>8.5253099999999975</v>
      </c>
      <c r="RT8">
        <f t="shared" ref="RT8" si="40">-RT7+$AX$7</f>
        <v>8.5256499999999988</v>
      </c>
      <c r="RU8">
        <f t="shared" ref="RU8" si="41">-RU7+$AX$7</f>
        <v>8.5256499999999988</v>
      </c>
      <c r="RV8">
        <f t="shared" ref="RV8" si="42">-RV7+$AX$7</f>
        <v>8.5256499999999988</v>
      </c>
      <c r="RW8">
        <f t="shared" ref="RW8" si="43">-RW7+$AX$7</f>
        <v>8.5256499999999988</v>
      </c>
      <c r="RX8">
        <f t="shared" ref="RX8" si="44">-RX7+$AX$7</f>
        <v>8.6303199999999975</v>
      </c>
      <c r="RY8">
        <f t="shared" ref="RY8" si="45">-RY7+$AX$7</f>
        <v>8.7169399999999975</v>
      </c>
      <c r="RZ8">
        <f t="shared" ref="RZ8" si="46">-RZ7+$AX$7</f>
        <v>8.7274599999999971</v>
      </c>
      <c r="SA8">
        <f t="shared" ref="SA8" si="47">-SA7+$AX$7</f>
        <v>8.7202299999999973</v>
      </c>
      <c r="SB8">
        <f t="shared" ref="SB8" si="48">-SB7+$AX$7</f>
        <v>8.7171199999999978</v>
      </c>
      <c r="SC8">
        <f t="shared" ref="SC8" si="49">-SC7+$AX$7</f>
        <v>8.717139999999997</v>
      </c>
      <c r="SD8">
        <f t="shared" ref="SD8" si="50">-SD7+$AX$7</f>
        <v>8.717489999999998</v>
      </c>
      <c r="SE8">
        <f t="shared" ref="SE8" si="51">-SE7+$AX$7</f>
        <v>8.717489999999998</v>
      </c>
      <c r="SF8">
        <f t="shared" ref="SF8" si="52">-SF7+$AX$7</f>
        <v>8.717489999999998</v>
      </c>
      <c r="SG8">
        <f t="shared" ref="SG8" si="53">-SG7+$AX$7</f>
        <v>8.717489999999998</v>
      </c>
      <c r="SH8">
        <f t="shared" ref="SH8" si="54">-SH7+$AX$7</f>
        <v>8.8220799999999961</v>
      </c>
      <c r="SI8">
        <f t="shared" ref="SI8" si="55">-SI7+$AX$7</f>
        <v>8.9086599999999976</v>
      </c>
      <c r="SJ8">
        <f t="shared" ref="SJ8" si="56">-SJ7+$AX$7</f>
        <v>8.9191899999999968</v>
      </c>
      <c r="SK8">
        <f t="shared" ref="SK8" si="57">-SK7+$AX$7</f>
        <v>8.9119499999999974</v>
      </c>
      <c r="SL8">
        <f t="shared" ref="SL8" si="58">-SL7+$AX$7</f>
        <v>8.9088399999999979</v>
      </c>
      <c r="SM8">
        <f t="shared" ref="SM8" si="59">-SM7+$AX$7</f>
        <v>8.9088699999999967</v>
      </c>
      <c r="SN8">
        <f t="shared" ref="SN8" si="60">-SN7+$AX$7</f>
        <v>8.9092099999999981</v>
      </c>
      <c r="SO8">
        <f t="shared" ref="SO8" si="61">-SO7+$AX$7</f>
        <v>8.9092099999999981</v>
      </c>
      <c r="SP8">
        <f t="shared" ref="SP8" si="62">-SP7+$AX$7</f>
        <v>8.9092099999999981</v>
      </c>
      <c r="SQ8">
        <f t="shared" ref="SQ8" si="63">-SQ7+$AX$7</f>
        <v>8.9092099999999981</v>
      </c>
      <c r="SR8">
        <f t="shared" ref="SR8" si="64">-SR7+$AX$7</f>
        <v>9.0137099999999961</v>
      </c>
      <c r="SS8">
        <f t="shared" ref="SS8" si="65">-SS7+$AX$7</f>
        <v>9.1002699999999983</v>
      </c>
      <c r="ST8">
        <f t="shared" ref="ST8" si="66">-ST7+$AX$7</f>
        <v>9.1107999999999976</v>
      </c>
      <c r="SU8">
        <f t="shared" ref="SU8" si="67">-SU7+$AX$7</f>
        <v>9.1035599999999981</v>
      </c>
      <c r="SV8">
        <f t="shared" ref="SV8" si="68">-SV7+$AX$7</f>
        <v>9.1004499999999986</v>
      </c>
      <c r="SW8">
        <f t="shared" ref="SW8" si="69">-SW7+$AX$7</f>
        <v>9.1004699999999978</v>
      </c>
      <c r="SX8">
        <f t="shared" ref="SX8" si="70">-SX7+$AX$7</f>
        <v>9.1008099999999992</v>
      </c>
      <c r="SY8">
        <f t="shared" ref="SY8" si="71">-SY7+$AX$7</f>
        <v>9.1008099999999992</v>
      </c>
      <c r="SZ8">
        <f t="shared" ref="SZ8" si="72">-SZ7+$AX$7</f>
        <v>9.1008099999999992</v>
      </c>
      <c r="TA8">
        <f t="shared" ref="TA8" si="73">-TA7+$AX$7</f>
        <v>9.1008099999999992</v>
      </c>
      <c r="TB8">
        <f t="shared" ref="TB8" si="74">-TB7+$AX$7</f>
        <v>9.2052299999999967</v>
      </c>
      <c r="TC8">
        <f t="shared" ref="TC8" si="75">-TC7+$AX$7</f>
        <v>9.2917599999999965</v>
      </c>
      <c r="TD8">
        <f t="shared" ref="TD8" si="76">-TD7+$AX$7</f>
        <v>9.3022999999999989</v>
      </c>
      <c r="TE8">
        <f t="shared" ref="TE8" si="77">-TE7+$AX$7</f>
        <v>9.2950499999999963</v>
      </c>
      <c r="TF8">
        <f t="shared" ref="TF8" si="78">-TF7+$AX$7</f>
        <v>9.2919399999999968</v>
      </c>
      <c r="TG8">
        <f t="shared" ref="TG8" si="79">-TG7+$AX$7</f>
        <v>9.291959999999996</v>
      </c>
      <c r="TH8">
        <f t="shared" ref="TH8" si="80">-TH7+$AX$7</f>
        <v>9.2922999999999973</v>
      </c>
      <c r="TI8">
        <f t="shared" ref="TI8" si="81">-TI7+$AX$7</f>
        <v>9.2922999999999973</v>
      </c>
      <c r="TJ8">
        <f t="shared" ref="TJ8" si="82">-TJ7+$AX$7</f>
        <v>9.2922999999999973</v>
      </c>
      <c r="TK8">
        <f t="shared" ref="TK8" si="83">-TK7+$AX$7</f>
        <v>9.2922999999999973</v>
      </c>
      <c r="TL8">
        <f t="shared" ref="TL8" si="84">-TL7+$AX$7</f>
        <v>9.3966399999999979</v>
      </c>
      <c r="TM8">
        <f t="shared" ref="TM8" si="85">-TM7+$AX$7</f>
        <v>9.4831299999999992</v>
      </c>
      <c r="TN8">
        <f t="shared" ref="TN8" si="86">-TN7+$AX$7</f>
        <v>9.4936799999999977</v>
      </c>
      <c r="TO8">
        <f t="shared" ref="TO8" si="87">-TO7+$AX$7</f>
        <v>9.4864299999999986</v>
      </c>
      <c r="TP8">
        <f t="shared" ref="TP8" si="88">-TP7+$AX$7</f>
        <v>9.4833099999999995</v>
      </c>
      <c r="TQ8">
        <f t="shared" ref="TQ8" si="89">-TQ7+$AX$7</f>
        <v>9.4833299999999987</v>
      </c>
      <c r="TR8">
        <f t="shared" ref="TR8" si="90">-TR7+$AX$7</f>
        <v>9.4836699999999965</v>
      </c>
      <c r="TS8">
        <f t="shared" ref="TS8" si="91">-TS7+$AX$7</f>
        <v>9.4836699999999965</v>
      </c>
      <c r="TT8">
        <f t="shared" ref="TT8" si="92">-TT7+$AX$7</f>
        <v>9.4836699999999965</v>
      </c>
      <c r="TU8">
        <f t="shared" ref="TU8" si="93">-TU7+$AX$7</f>
        <v>9.4836699999999965</v>
      </c>
      <c r="TV8">
        <f t="shared" ref="TV8" si="94">-TV7+$AX$7</f>
        <v>9.5879199999999969</v>
      </c>
      <c r="TW8">
        <f t="shared" ref="TW8" si="95">-TW7+$AX$7</f>
        <v>9.6743799999999993</v>
      </c>
      <c r="TX8">
        <f t="shared" ref="TX8" si="96">-TX7+$AX$7</f>
        <v>9.6849299999999978</v>
      </c>
      <c r="TY8">
        <f t="shared" ref="TY8" si="97">-TY7+$AX$7</f>
        <v>9.6776799999999987</v>
      </c>
      <c r="TZ8">
        <f t="shared" ref="TZ8" si="98">-TZ7+$AX$7</f>
        <v>9.6745499999999964</v>
      </c>
      <c r="UA8">
        <f t="shared" ref="UA8" si="99">-UA7+$AX$7</f>
        <v>9.6745699999999992</v>
      </c>
      <c r="UB8">
        <f t="shared" ref="UB8" si="100">-UB7+$AX$7</f>
        <v>9.6749199999999966</v>
      </c>
      <c r="UC8">
        <f t="shared" ref="UC8" si="101">-UC7+$AX$7</f>
        <v>9.6749199999999966</v>
      </c>
      <c r="UD8">
        <f t="shared" ref="UD8" si="102">-UD7+$AX$7</f>
        <v>9.6749199999999966</v>
      </c>
      <c r="UE8">
        <f t="shared" ref="UE8" si="103">-UE7+$AX$7</f>
        <v>9.6749199999999966</v>
      </c>
      <c r="UF8">
        <f t="shared" ref="UF8" si="104">-UF7+$AX$7</f>
        <v>9.7790799999999969</v>
      </c>
      <c r="UG8">
        <f t="shared" ref="UG8" si="105">-UG7+$AX$7</f>
        <v>9.8655099999999969</v>
      </c>
      <c r="UH8">
        <f t="shared" ref="UH8" si="106">-UH7+$AX$7</f>
        <v>9.876059999999999</v>
      </c>
      <c r="UI8">
        <f t="shared" ref="UI8" si="107">-UI7+$AX$7</f>
        <v>9.8688099999999963</v>
      </c>
      <c r="UJ8">
        <f t="shared" ref="UJ8" si="108">-UJ7+$AX$7</f>
        <v>9.8656799999999976</v>
      </c>
      <c r="UK8">
        <f t="shared" ref="UK8" si="109">-UK7+$AX$7</f>
        <v>9.8656999999999968</v>
      </c>
      <c r="UL8">
        <f t="shared" ref="UL8" si="110">-UL7+$AX$7</f>
        <v>9.8660499999999978</v>
      </c>
      <c r="UM8">
        <f t="shared" ref="UM8" si="111">-UM7+$AX$7</f>
        <v>9.8660499999999978</v>
      </c>
      <c r="UN8">
        <f t="shared" ref="UN8" si="112">-UN7+$AX$7</f>
        <v>9.8660499999999978</v>
      </c>
      <c r="UO8">
        <f t="shared" ref="UO8" si="113">-UO7+$AX$7</f>
        <v>9.8660499999999978</v>
      </c>
      <c r="UP8">
        <f t="shared" ref="UP8" si="114">-UP7+$AX$7</f>
        <v>9.9701099999999983</v>
      </c>
      <c r="UQ8">
        <f t="shared" ref="UQ8" si="115">-UQ7+$AX$7</f>
        <v>10.056509999999999</v>
      </c>
      <c r="UR8">
        <f t="shared" ref="UR8" si="116">-UR7+$AX$7</f>
        <v>10.067069999999998</v>
      </c>
      <c r="US8">
        <f t="shared" ref="US8" si="117">-US7+$AX$7</f>
        <v>10.059809999999999</v>
      </c>
      <c r="UT8">
        <f t="shared" ref="UT8" si="118">-UT7+$AX$7</f>
        <v>10.056679999999997</v>
      </c>
      <c r="UU8">
        <f t="shared" ref="UU8" si="119">-UU7+$AX$7</f>
        <v>10.056699999999999</v>
      </c>
      <c r="UV8">
        <f t="shared" ref="UV8" si="120">-UV7+$AX$7</f>
        <v>10.057049999999997</v>
      </c>
      <c r="UW8">
        <f t="shared" ref="UW8" si="121">-UW7+$AX$7</f>
        <v>10.057049999999997</v>
      </c>
      <c r="UX8">
        <f t="shared" ref="UX8" si="122">-UX7+$AX$7</f>
        <v>10.057049999999997</v>
      </c>
      <c r="UY8">
        <f t="shared" ref="UY8" si="123">-UY7+$AX$7</f>
        <v>10.057049999999997</v>
      </c>
      <c r="UZ8">
        <f t="shared" ref="UZ8" si="124">-UZ7+$AX$7</f>
        <v>10.161019999999997</v>
      </c>
      <c r="VA8">
        <f t="shared" ref="VA8" si="125">-VA7+$AX$7</f>
        <v>10.247379999999996</v>
      </c>
      <c r="VB8">
        <f t="shared" ref="VB8" si="126">-VB7+$AX$7</f>
        <v>10.257939999999998</v>
      </c>
      <c r="VC8">
        <f t="shared" ref="VC8" si="127">-VC7+$AX$7</f>
        <v>10.250679999999999</v>
      </c>
      <c r="VD8">
        <f t="shared" ref="VD8" si="128">-VD7+$AX$7</f>
        <v>10.247549999999997</v>
      </c>
      <c r="VE8">
        <f t="shared" ref="VE8" si="129">-VE7+$AX$7</f>
        <v>10.247569999999996</v>
      </c>
      <c r="VF8">
        <f t="shared" ref="VF8" si="130">-VF7+$AX$7</f>
        <v>10.247909999999997</v>
      </c>
      <c r="VG8">
        <f t="shared" ref="VG8" si="131">-VG7+$AX$7</f>
        <v>10.247909999999997</v>
      </c>
      <c r="VH8">
        <f t="shared" ref="VH8" si="132">-VH7+$AX$7</f>
        <v>10.247909999999997</v>
      </c>
      <c r="VI8">
        <f t="shared" ref="VI8" si="133">-VI7+$AX$7</f>
        <v>10.247909999999997</v>
      </c>
      <c r="VJ8">
        <f t="shared" ref="VJ8" si="134">-VJ7+$AX$7</f>
        <v>10.351789999999998</v>
      </c>
      <c r="VK8">
        <f t="shared" ref="VK8" si="135">-VK7+$AX$7</f>
        <v>10.438119999999998</v>
      </c>
      <c r="VL8">
        <f t="shared" ref="VL8" si="136">-VL7+$AX$7</f>
        <v>10.448689999999999</v>
      </c>
      <c r="VM8">
        <f t="shared" ref="VM8" si="137">-VM7+$AX$7</f>
        <v>10.441419999999997</v>
      </c>
      <c r="VN8">
        <f t="shared" ref="VN8" si="138">-VN7+$AX$7</f>
        <v>10.438279999999999</v>
      </c>
      <c r="VO8">
        <f t="shared" ref="VO8" si="139">-VO7+$AX$7</f>
        <v>10.438309999999998</v>
      </c>
      <c r="VP8">
        <f t="shared" ref="VP8" si="140">-VP7+$AX$7</f>
        <v>10.438649999999999</v>
      </c>
      <c r="VQ8">
        <f t="shared" ref="VQ8" si="141">-VQ7+$AX$7</f>
        <v>10.438649999999999</v>
      </c>
      <c r="VR8">
        <f t="shared" ref="VR8" si="142">-VR7+$AX$7</f>
        <v>10.438649999999999</v>
      </c>
      <c r="VS8">
        <f t="shared" ref="VS8" si="143">-VS7+$AX$7</f>
        <v>10.438649999999999</v>
      </c>
      <c r="VT8">
        <f t="shared" ref="VT8" si="144">-VT7+$AX$7</f>
        <v>10.542429999999996</v>
      </c>
      <c r="VU8">
        <f t="shared" ref="VU8" si="145">-VU7+$AX$7</f>
        <v>10.628719999999998</v>
      </c>
      <c r="VV8">
        <f t="shared" ref="VV8" si="146">-VV7+$AX$7</f>
        <v>10.639299999999999</v>
      </c>
      <c r="VW8">
        <f t="shared" ref="VW8" si="147">-VW7+$AX$7</f>
        <v>10.632029999999997</v>
      </c>
      <c r="VX8">
        <f t="shared" ref="VX8" si="148">-VX7+$AX$7</f>
        <v>10.628889999999998</v>
      </c>
      <c r="VY8">
        <f t="shared" ref="VY8" si="149">-VY7+$AX$7</f>
        <v>10.628909999999998</v>
      </c>
      <c r="VZ8">
        <f t="shared" ref="VZ8" si="150">-VZ7+$AX$7</f>
        <v>10.629249999999999</v>
      </c>
      <c r="WA8">
        <f t="shared" ref="WA8" si="151">-WA7+$AX$7</f>
        <v>10.629249999999999</v>
      </c>
      <c r="WB8">
        <f t="shared" ref="WB8" si="152">-WB7+$AX$7</f>
        <v>10.629249999999999</v>
      </c>
      <c r="WC8">
        <f t="shared" ref="WC8" si="153">-WC7+$AX$7</f>
        <v>10.629249999999999</v>
      </c>
      <c r="WD8">
        <f t="shared" ref="WD8" si="154">-WD7+$AX$7</f>
        <v>10.732929999999996</v>
      </c>
      <c r="WE8">
        <f t="shared" ref="WE8" si="155">-WE7+$AX$7</f>
        <v>10.819179999999999</v>
      </c>
      <c r="WF8">
        <f t="shared" ref="WF8" si="156">-WF7+$AX$7</f>
        <v>10.829769999999996</v>
      </c>
      <c r="WG8">
        <f t="shared" ref="WG8" si="157">-WG7+$AX$7</f>
        <v>10.822499999999998</v>
      </c>
      <c r="WH8">
        <f t="shared" ref="WH8" si="158">-WH7+$AX$7</f>
        <v>10.819349999999996</v>
      </c>
      <c r="WI8">
        <f t="shared" ref="WI8" si="159">-WI7+$AX$7</f>
        <v>10.819369999999999</v>
      </c>
      <c r="WJ8">
        <f t="shared" ref="WJ8" si="160">-WJ7+$AX$7</f>
        <v>10.819709999999997</v>
      </c>
      <c r="WK8">
        <f t="shared" ref="WK8" si="161">-WK7+$AX$7</f>
        <v>10.819709999999997</v>
      </c>
      <c r="WL8">
        <f t="shared" ref="WL8" si="162">-WL7+$AX$7</f>
        <v>10.819709999999997</v>
      </c>
      <c r="WM8">
        <f t="shared" ref="WM8" si="163">-WM7+$AX$7</f>
        <v>10.819709999999997</v>
      </c>
      <c r="WN8">
        <f t="shared" ref="WN8" si="164">-WN7+$AX$7</f>
        <v>10.923289999999998</v>
      </c>
      <c r="WO8">
        <f t="shared" ref="WO8" si="165">-WO7+$AX$7</f>
        <v>11.009509999999999</v>
      </c>
      <c r="WP8">
        <f t="shared" ref="WP8" si="166">-WP7+$AX$7</f>
        <v>11.020099999999999</v>
      </c>
      <c r="WQ8">
        <f t="shared" ref="WQ8" si="167">-WQ7+$AX$7</f>
        <v>11.012829999999997</v>
      </c>
      <c r="WR8">
        <f t="shared" ref="WR8" si="168">-WR7+$AX$7</f>
        <v>11.009669999999996</v>
      </c>
      <c r="WS8">
        <f t="shared" ref="WS8" si="169">-WS7+$AX$7</f>
        <v>11.009689999999999</v>
      </c>
      <c r="WT8">
        <f t="shared" ref="WT8" si="170">-WT7+$AX$7</f>
        <v>11.010039999999996</v>
      </c>
      <c r="WU8">
        <f t="shared" ref="WU8" si="171">-WU7+$AX$7</f>
        <v>11.010039999999996</v>
      </c>
      <c r="WV8">
        <f t="shared" ref="WV8" si="172">-WV7+$AX$7</f>
        <v>11.010039999999996</v>
      </c>
      <c r="WW8">
        <f t="shared" ref="WW8" si="173">-WW7+$AX$7</f>
        <v>11.010039999999996</v>
      </c>
      <c r="WX8">
        <f t="shared" ref="WX8" si="174">-WX7+$AX$7</f>
        <v>11.113509999999998</v>
      </c>
      <c r="WY8">
        <f t="shared" ref="WY8" si="175">-WY7+$AX$7</f>
        <v>11.199679999999997</v>
      </c>
      <c r="WZ8">
        <f t="shared" ref="WZ8" si="176">-WZ7+$AX$7</f>
        <v>11.210279999999997</v>
      </c>
      <c r="XA8">
        <f t="shared" ref="XA8" si="177">-XA7+$AX$7</f>
        <v>11.203009999999999</v>
      </c>
      <c r="XB8">
        <f t="shared" ref="XB8" si="178">-XB7+$AX$7</f>
        <v>11.199849999999998</v>
      </c>
      <c r="XC8">
        <f t="shared" ref="XC8" si="179">-XC7+$AX$7</f>
        <v>11.199869999999997</v>
      </c>
      <c r="XD8">
        <f t="shared" ref="XD8" si="180">-XD7+$AX$7</f>
        <v>11.200219999999998</v>
      </c>
      <c r="XE8">
        <f t="shared" ref="XE8" si="181">-XE7+$AX$7</f>
        <v>11.200219999999998</v>
      </c>
      <c r="XF8">
        <f t="shared" ref="XF8" si="182">-XF7+$AX$7</f>
        <v>11.200219999999998</v>
      </c>
      <c r="XG8">
        <f t="shared" ref="XG8" si="183">-XG7+$AX$7</f>
        <v>11.200219999999998</v>
      </c>
      <c r="XH8">
        <f t="shared" ref="XH8" si="184">-XH7+$AX$7</f>
        <v>11.303579999999997</v>
      </c>
      <c r="XI8">
        <f t="shared" ref="XI8" si="185">-XI7+$AX$7</f>
        <v>11.389719999999997</v>
      </c>
      <c r="XJ8">
        <f t="shared" ref="XJ8" si="186">-XJ7+$AX$7</f>
        <v>11.400319999999997</v>
      </c>
      <c r="XK8">
        <f t="shared" ref="XK8" si="187">-XK7+$AX$7</f>
        <v>11.393049999999999</v>
      </c>
      <c r="XL8">
        <f t="shared" ref="XL8" si="188">-XL7+$AX$7</f>
        <v>11.389879999999998</v>
      </c>
      <c r="XM8">
        <f t="shared" ref="XM8" si="189">-XM7+$AX$7</f>
        <v>11.389899999999997</v>
      </c>
      <c r="XN8">
        <f t="shared" ref="XN8" si="190">-XN7+$AX$7</f>
        <v>11.390249999999998</v>
      </c>
      <c r="XO8">
        <f t="shared" ref="XO8" si="191">-XO7+$AX$7</f>
        <v>11.390249999999998</v>
      </c>
      <c r="XP8">
        <f t="shared" ref="XP8" si="192">-XP7+$AX$7</f>
        <v>11.390249999999998</v>
      </c>
      <c r="XQ8">
        <f t="shared" ref="XQ8" si="193">-XQ7+$AX$7</f>
        <v>11.390249999999998</v>
      </c>
      <c r="XR8">
        <f t="shared" ref="XR8" si="194">-XR7+$AX$7</f>
        <v>11.493499999999997</v>
      </c>
      <c r="XS8">
        <f t="shared" ref="XS8" si="195">-XS7+$AX$7</f>
        <v>11.579599999999999</v>
      </c>
      <c r="XT8">
        <f t="shared" ref="XT8" si="196">-XT7+$AX$7</f>
        <v>11.590209999999999</v>
      </c>
      <c r="XU8">
        <f t="shared" ref="XU8" si="197">-XU7+$AX$7</f>
        <v>11.582929999999998</v>
      </c>
      <c r="XV8">
        <f t="shared" ref="XV8" si="198">-XV7+$AX$7</f>
        <v>11.579759999999997</v>
      </c>
      <c r="XW8">
        <f t="shared" ref="XW8" si="199">-XW7+$AX$7</f>
        <v>11.579779999999996</v>
      </c>
      <c r="XX8">
        <f t="shared" ref="XX8" si="200">-XX7+$AX$7</f>
        <v>11.580129999999997</v>
      </c>
      <c r="XY8">
        <f t="shared" ref="XY8" si="201">-XY7+$AX$7</f>
        <v>11.580129999999997</v>
      </c>
      <c r="XZ8">
        <f t="shared" ref="XZ8" si="202">-XZ7+$AX$7</f>
        <v>11.580129999999997</v>
      </c>
      <c r="YA8">
        <f t="shared" ref="YA8" si="203">-YA7+$AX$7</f>
        <v>11.580129999999997</v>
      </c>
      <c r="YB8">
        <f t="shared" ref="YB8" si="204">-YB7+$AX$7</f>
        <v>11.683269999999997</v>
      </c>
      <c r="YC8">
        <f t="shared" ref="YC8" si="205">-YC7+$AX$7</f>
        <v>11.769319999999997</v>
      </c>
      <c r="YD8">
        <f t="shared" ref="YD8" si="206">-YD7+$AX$7</f>
        <v>11.779939999999996</v>
      </c>
      <c r="YE8">
        <f t="shared" ref="YE8" si="207">-YE7+$AX$7</f>
        <v>11.772659999999998</v>
      </c>
      <c r="YF8">
        <f t="shared" ref="YF8" si="208">-YF7+$AX$7</f>
        <v>11.769489999999998</v>
      </c>
      <c r="YG8">
        <f t="shared" ref="YG8" si="209">-YG7+$AX$7</f>
        <v>11.769499999999997</v>
      </c>
      <c r="YH8">
        <f t="shared" ref="YH8" si="210">-YH7+$AX$7</f>
        <v>11.769849999999998</v>
      </c>
      <c r="YI8">
        <f t="shared" ref="YI8" si="211">-YI7+$AX$7</f>
        <v>11.769849999999998</v>
      </c>
      <c r="YJ8">
        <f t="shared" ref="YJ8" si="212">-YJ7+$AX$7</f>
        <v>11.769849999999998</v>
      </c>
      <c r="YK8">
        <f t="shared" ref="YK8" si="213">-YK7+$AX$7</f>
        <v>11.769849999999998</v>
      </c>
      <c r="YL8">
        <f t="shared" ref="YL8" si="214">-YL7+$AX$7</f>
        <v>11.872889999999998</v>
      </c>
      <c r="YM8">
        <f t="shared" ref="YM8" si="215">-YM7+$AX$7</f>
        <v>11.958889999999997</v>
      </c>
      <c r="YN8">
        <f t="shared" ref="YN8" si="216">-YN7+$AX$7</f>
        <v>11.969519999999999</v>
      </c>
      <c r="YO8">
        <f t="shared" ref="YO8" si="217">-YO7+$AX$7</f>
        <v>11.962239999999998</v>
      </c>
      <c r="YP8">
        <f t="shared" ref="YP8" si="218">-YP7+$AX$7</f>
        <v>11.959059999999997</v>
      </c>
      <c r="YQ8">
        <f t="shared" ref="YQ8" si="219">-YQ7+$AX$7</f>
        <v>11.959069999999997</v>
      </c>
      <c r="YR8">
        <f t="shared" ref="YR8" si="220">-YR7+$AX$7</f>
        <v>11.959419999999998</v>
      </c>
      <c r="YS8">
        <f t="shared" ref="YS8" si="221">-YS7+$AX$7</f>
        <v>11.959419999999998</v>
      </c>
      <c r="YT8">
        <f t="shared" ref="YT8" si="222">-YT7+$AX$7</f>
        <v>11.959419999999998</v>
      </c>
      <c r="YU8">
        <f t="shared" ref="YU8" si="223">-YU7+$AX$7</f>
        <v>11.959419999999998</v>
      </c>
      <c r="YV8">
        <f t="shared" ref="YV8" si="224">-YV7+$AX$7</f>
        <v>12.062339999999999</v>
      </c>
      <c r="YW8">
        <f t="shared" ref="YW8" si="225">-YW7+$AX$7</f>
        <v>12.148299999999999</v>
      </c>
      <c r="YX8">
        <f t="shared" ref="YX8" si="226">-YX7+$AX$7</f>
        <v>12.158939999999998</v>
      </c>
      <c r="YY8">
        <f t="shared" ref="YY8" si="227">-YY7+$AX$7</f>
        <v>12.151649999999997</v>
      </c>
      <c r="YZ8">
        <f t="shared" ref="YZ8" si="228">-YZ7+$AX$7</f>
        <v>12.148469999999996</v>
      </c>
      <c r="ZA8">
        <f t="shared" ref="ZA8" si="229">-ZA7+$AX$7</f>
        <v>12.148479999999999</v>
      </c>
      <c r="ZB8">
        <f t="shared" ref="ZB8" si="230">-ZB7+$AX$7</f>
        <v>12.148839999999996</v>
      </c>
      <c r="ZC8">
        <f t="shared" ref="ZC8" si="231">-ZC7+$AX$7</f>
        <v>12.148839999999996</v>
      </c>
      <c r="ZD8">
        <f t="shared" ref="ZD8" si="232">-ZD7+$AX$7</f>
        <v>12.148839999999996</v>
      </c>
      <c r="ZE8">
        <f t="shared" ref="ZE8" si="233">-ZE7+$AX$7</f>
        <v>12.148839999999996</v>
      </c>
      <c r="ZF8">
        <f t="shared" ref="ZF8" si="234">-ZF7+$AX$7</f>
        <v>12.251629999999999</v>
      </c>
      <c r="ZG8">
        <f t="shared" ref="ZG8" si="235">-ZG7+$AX$7</f>
        <v>12.337549999999997</v>
      </c>
      <c r="ZH8">
        <f t="shared" ref="ZH8" si="236">-ZH7+$AX$7</f>
        <v>12.348189999999999</v>
      </c>
      <c r="ZI8">
        <f t="shared" ref="ZI8" si="237">-ZI7+$AX$7</f>
        <v>12.340899999999998</v>
      </c>
      <c r="ZJ8">
        <f t="shared" ref="ZJ8" si="238">-ZJ7+$AX$7</f>
        <v>12.337709999999998</v>
      </c>
      <c r="ZK8">
        <f t="shared" ref="ZK8" si="239">-ZK7+$AX$7</f>
        <v>12.337719999999997</v>
      </c>
      <c r="ZL8">
        <f t="shared" ref="ZL8" si="240">-ZL7+$AX$7</f>
        <v>12.338079999999998</v>
      </c>
      <c r="ZM8">
        <f t="shared" ref="ZM8" si="241">-ZM7+$AX$7</f>
        <v>12.338079999999998</v>
      </c>
      <c r="ZN8">
        <f t="shared" ref="ZN8" si="242">-ZN7+$AX$7</f>
        <v>12.338079999999998</v>
      </c>
      <c r="ZO8">
        <f t="shared" ref="ZO8" si="243">-ZO7+$AX$7</f>
        <v>12.338079999999998</v>
      </c>
      <c r="ZP8">
        <f t="shared" ref="ZP8" si="244">-ZP7+$AX$7</f>
        <v>12.440749999999998</v>
      </c>
      <c r="ZQ8">
        <f t="shared" ref="ZQ8" si="245">-ZQ7+$AX$7</f>
        <v>12.526629999999997</v>
      </c>
      <c r="ZR8">
        <f t="shared" ref="ZR8" si="246">-ZR7+$AX$7</f>
        <v>12.537279999999999</v>
      </c>
      <c r="ZS8">
        <f t="shared" ref="ZS8" si="247">-ZS7+$AX$7</f>
        <v>12.529979999999998</v>
      </c>
      <c r="ZT8">
        <f t="shared" ref="ZT8" si="248">-ZT7+$AX$7</f>
        <v>12.526779999999999</v>
      </c>
      <c r="ZU8">
        <f t="shared" ref="ZU8" si="249">-ZU7+$AX$7</f>
        <v>12.526799999999998</v>
      </c>
      <c r="ZV8">
        <f t="shared" ref="ZV8" si="250">-ZV7+$AX$7</f>
        <v>12.527149999999999</v>
      </c>
      <c r="ZW8">
        <f t="shared" ref="ZW8" si="251">-ZW7+$AX$7</f>
        <v>12.527149999999999</v>
      </c>
      <c r="ZX8">
        <f t="shared" ref="ZX8" si="252">-ZX7+$AX$7</f>
        <v>12.527149999999999</v>
      </c>
      <c r="ZY8">
        <f t="shared" ref="ZY8" si="253">-ZY7+$AX$7</f>
        <v>12.527149999999999</v>
      </c>
      <c r="ZZ8">
        <f t="shared" ref="ZZ8" si="254">-ZZ7+$AX$7</f>
        <v>12.629709999999999</v>
      </c>
      <c r="AAA8">
        <f t="shared" ref="AAA8" si="255">-AAA7+$AX$7</f>
        <v>12.715529999999998</v>
      </c>
      <c r="AAB8">
        <f t="shared" ref="AAB8" si="256">-AAB7+$AX$7</f>
        <v>12.726189999999999</v>
      </c>
      <c r="AAC8">
        <f t="shared" ref="AAC8" si="257">-AAC7+$AX$7</f>
        <v>12.718889999999998</v>
      </c>
      <c r="AAD8">
        <f t="shared" ref="AAD8" si="258">-AAD7+$AX$7</f>
        <v>12.715689999999999</v>
      </c>
      <c r="AAE8">
        <f t="shared" ref="AAE8" si="259">-AAE7+$AX$7</f>
        <v>12.715699999999998</v>
      </c>
      <c r="AAF8">
        <f t="shared" ref="AAF8" si="260">-AAF7+$AX$7</f>
        <v>12.716059999999999</v>
      </c>
      <c r="AAG8">
        <f t="shared" ref="AAG8" si="261">-AAG7+$AX$7</f>
        <v>12.716059999999999</v>
      </c>
      <c r="AAH8">
        <f t="shared" ref="AAH8" si="262">-AAH7+$AX$7</f>
        <v>12.716059999999999</v>
      </c>
      <c r="AAI8">
        <f t="shared" ref="AAI8" si="263">-AAI7+$AX$7</f>
        <v>12.716059999999999</v>
      </c>
      <c r="AAJ8">
        <f t="shared" ref="AAJ8" si="264">-AAJ7+$AX$7</f>
        <v>12.818489999999997</v>
      </c>
      <c r="AAK8">
        <f t="shared" ref="AAK8" si="265">-AAK7+$AX$7</f>
        <v>12.904259999999997</v>
      </c>
      <c r="AAL8">
        <f t="shared" ref="AAL8" si="266">-AAL7+$AX$7</f>
        <v>12.914929999999998</v>
      </c>
      <c r="AAM8">
        <f t="shared" ref="AAM8" si="267">-AAM7+$AX$7</f>
        <v>12.907629999999997</v>
      </c>
      <c r="AAN8">
        <f t="shared" ref="AAN8" si="268">-AAN7+$AX$7</f>
        <v>12.904419999999998</v>
      </c>
      <c r="AAO8">
        <f t="shared" ref="AAO8" si="269">-AAO7+$AX$7</f>
        <v>12.904429999999998</v>
      </c>
      <c r="AAP8">
        <f t="shared" ref="AAP8" si="270">-AAP7+$AX$7</f>
        <v>12.904789999999998</v>
      </c>
      <c r="AAQ8">
        <f t="shared" ref="AAQ8" si="271">-AAQ7+$AX$7</f>
        <v>12.904789999999998</v>
      </c>
      <c r="AAR8">
        <f t="shared" ref="AAR8" si="272">-AAR7+$AX$7</f>
        <v>12.904789999999998</v>
      </c>
      <c r="AAS8">
        <f t="shared" ref="AAS8" si="273">-AAS7+$AX$7</f>
        <v>12.904789999999998</v>
      </c>
      <c r="AAT8">
        <f t="shared" ref="AAT8" si="274">-AAT7+$AX$7</f>
        <v>13.007089999999998</v>
      </c>
      <c r="AAU8">
        <f t="shared" ref="AAU8" si="275">-AAU7+$AX$7</f>
        <v>13.092809999999997</v>
      </c>
      <c r="AAV8">
        <f t="shared" ref="AAV8" si="276">-AAV7+$AX$7</f>
        <v>13.103489999999997</v>
      </c>
      <c r="AAW8">
        <f t="shared" ref="AAW8" si="277">-AAW7+$AX$7</f>
        <v>13.096179999999997</v>
      </c>
      <c r="AAX8">
        <f t="shared" ref="AAX8" si="278">-AAX7+$AX$7</f>
        <v>13.092969999999998</v>
      </c>
      <c r="AAY8">
        <f t="shared" ref="AAY8" si="279">-AAY7+$AX$7</f>
        <v>13.092979999999997</v>
      </c>
      <c r="AAZ8">
        <f t="shared" ref="AAZ8" si="280">-AAZ7+$AX$7</f>
        <v>13.093339999999998</v>
      </c>
      <c r="ABA8">
        <f t="shared" ref="ABA8" si="281">-ABA7+$AX$7</f>
        <v>13.093339999999998</v>
      </c>
      <c r="ABB8">
        <f t="shared" ref="ABB8" si="282">-ABB7+$AX$7</f>
        <v>13.093339999999998</v>
      </c>
      <c r="ABC8">
        <f t="shared" ref="ABC8" si="283">-ABC7+$AX$7</f>
        <v>13.093339999999998</v>
      </c>
      <c r="ABD8">
        <f t="shared" ref="ABD8" si="284">-ABD7+$AX$7</f>
        <v>13.195499999999999</v>
      </c>
      <c r="ABE8">
        <f t="shared" ref="ABE8" si="285">-ABE7+$AX$7</f>
        <v>13.281179999999999</v>
      </c>
      <c r="ABF8">
        <f t="shared" ref="ABF8" si="286">-ABF7+$AX$7</f>
        <v>13.291859999999996</v>
      </c>
      <c r="ABG8">
        <f t="shared" ref="ABG8" si="287">-ABG7+$AX$7</f>
        <v>13.284549999999999</v>
      </c>
      <c r="ABH8">
        <f t="shared" ref="ABH8" si="288">-ABH7+$AX$7</f>
        <v>13.281329999999997</v>
      </c>
      <c r="ABI8">
        <f t="shared" ref="ABI8" si="289">-ABI7+$AX$7</f>
        <v>13.281339999999997</v>
      </c>
      <c r="ABJ8">
        <f t="shared" ref="ABJ8" si="290">-ABJ7+$AX$7</f>
        <v>13.281699999999997</v>
      </c>
      <c r="ABK8">
        <f t="shared" ref="ABK8" si="291">-ABK7+$AX$7</f>
        <v>13.281699999999997</v>
      </c>
      <c r="ABL8">
        <f t="shared" ref="ABL8" si="292">-ABL7+$AX$7</f>
        <v>13.281699999999997</v>
      </c>
      <c r="ABM8">
        <f t="shared" ref="ABM8" si="293">-ABM7+$AX$7</f>
        <v>13.281699999999997</v>
      </c>
      <c r="ABN8">
        <f t="shared" ref="ABN8" si="294">-ABN7+$AX$7</f>
        <v>13.383729999999996</v>
      </c>
      <c r="ABO8">
        <f t="shared" ref="ABO8" si="295">-ABO7+$AX$7</f>
        <v>13.469349999999999</v>
      </c>
      <c r="ABP8">
        <f t="shared" ref="ABP8" si="296">-ABP7+$AX$7</f>
        <v>13.480049999999999</v>
      </c>
      <c r="ABQ8">
        <f t="shared" ref="ABQ8" si="297">-ABQ7+$AX$7</f>
        <v>13.472729999999999</v>
      </c>
      <c r="ABR8">
        <f t="shared" ref="ABR8" si="298">-ABR7+$AX$7</f>
        <v>13.469509999999996</v>
      </c>
      <c r="ABS8">
        <f t="shared" ref="ABS8" si="299">-ABS7+$AX$7</f>
        <v>13.469519999999999</v>
      </c>
      <c r="ABT8">
        <f t="shared" ref="ABT8" si="300">-ABT7+$AX$7</f>
        <v>13.469879999999996</v>
      </c>
      <c r="ABU8">
        <f t="shared" ref="ABU8" si="301">-ABU7+$AX$7</f>
        <v>13.469879999999996</v>
      </c>
      <c r="ABV8">
        <f t="shared" ref="ABV8" si="302">-ABV7+$AX$7</f>
        <v>13.469879999999996</v>
      </c>
      <c r="ABW8">
        <f t="shared" ref="ABW8" si="303">-ABW7+$AX$7</f>
        <v>13.469879999999996</v>
      </c>
      <c r="ABX8">
        <f t="shared" ref="ABX8" si="304">-ABX7+$AX$7</f>
        <v>13.571769999999997</v>
      </c>
      <c r="ABY8">
        <f t="shared" ref="ABY8" si="305">-ABY7+$AX$7</f>
        <v>13.657339999999998</v>
      </c>
      <c r="ABZ8">
        <f t="shared" ref="ABZ8" si="306">-ABZ7+$AX$7</f>
        <v>13.668039999999998</v>
      </c>
      <c r="ACA8">
        <f t="shared" ref="ACA8" si="307">-ACA7+$AX$7</f>
        <v>13.660719999999998</v>
      </c>
      <c r="ACB8">
        <f t="shared" ref="ACB8" si="308">-ACB7+$AX$7</f>
        <v>13.657489999999999</v>
      </c>
      <c r="ACC8">
        <f t="shared" ref="ACC8" si="309">-ACC7+$AX$7</f>
        <v>13.657499999999999</v>
      </c>
      <c r="ACD8">
        <f t="shared" ref="ACD8" si="310">-ACD7+$AX$7</f>
        <v>13.657859999999999</v>
      </c>
      <c r="ACE8">
        <f t="shared" ref="ACE8" si="311">-ACE7+$AX$7</f>
        <v>13.657859999999999</v>
      </c>
      <c r="ACF8">
        <f t="shared" ref="ACF8" si="312">-ACF7+$AX$7</f>
        <v>13.657859999999999</v>
      </c>
      <c r="ACG8">
        <f t="shared" ref="ACG8" si="313">-ACG7+$AX$7</f>
        <v>13.657859999999999</v>
      </c>
      <c r="ACH8">
        <f t="shared" ref="ACH8" si="314">-ACH7+$AX$7</f>
        <v>13.759609999999999</v>
      </c>
      <c r="ACI8">
        <f t="shared" ref="ACI8" si="315">-ACI7+$AX$7</f>
        <v>13.845119999999998</v>
      </c>
      <c r="ACJ8">
        <f t="shared" ref="ACJ8" si="316">-ACJ7+$AX$7</f>
        <v>13.855839999999997</v>
      </c>
      <c r="ACK8">
        <f t="shared" ref="ACK8" si="317">-ACK7+$AX$7</f>
        <v>13.848509999999997</v>
      </c>
      <c r="ACL8">
        <f t="shared" ref="ACL8" si="318">-ACL7+$AX$7</f>
        <v>13.845279999999999</v>
      </c>
      <c r="ACM8">
        <f t="shared" ref="ACM8" si="319">-ACM7+$AX$7</f>
        <v>13.845279999999999</v>
      </c>
      <c r="ACN8">
        <f t="shared" ref="ACN8" si="320">-ACN7+$AX$7</f>
        <v>13.84564</v>
      </c>
      <c r="ACO8">
        <f t="shared" ref="ACO8" si="321">-ACO7+$AX$7</f>
        <v>13.84564</v>
      </c>
      <c r="ACP8">
        <f t="shared" ref="ACP8" si="322">-ACP7+$AX$7</f>
        <v>13.84564</v>
      </c>
      <c r="ACQ8">
        <f t="shared" ref="ACQ8" si="323">-ACQ7+$AX$7</f>
        <v>13.84564</v>
      </c>
      <c r="ACR8">
        <f t="shared" ref="ACR8" si="324">-ACR7+$AX$7</f>
        <v>13.947249999999997</v>
      </c>
      <c r="ACS8">
        <f t="shared" ref="ACS8" si="325">-ACS7+$AX$7</f>
        <v>14.032709999999998</v>
      </c>
      <c r="ACT8">
        <f t="shared" ref="ACT8" si="326">-ACT7+$AX$7</f>
        <v>14.043429999999997</v>
      </c>
      <c r="ACU8">
        <f t="shared" ref="ACU8" si="327">-ACU7+$AX$7</f>
        <v>14.036099999999998</v>
      </c>
      <c r="ACV8">
        <f t="shared" ref="ACV8" si="328">-ACV7+$AX$7</f>
        <v>14.032859999999999</v>
      </c>
      <c r="ACW8">
        <f t="shared" ref="ACW8" si="329">-ACW7+$AX$7</f>
        <v>14.032859999999999</v>
      </c>
      <c r="ACX8">
        <f t="shared" ref="ACX8" si="330">-ACX7+$AX$7</f>
        <v>14.033229999999996</v>
      </c>
      <c r="ACY8">
        <f t="shared" ref="ACY8" si="331">-ACY7+$AX$7</f>
        <v>14.033229999999996</v>
      </c>
      <c r="ACZ8">
        <f t="shared" ref="ACZ8" si="332">-ACZ7+$AX$7</f>
        <v>14.033229999999996</v>
      </c>
      <c r="ADA8">
        <f t="shared" ref="ADA8" si="333">-ADA7+$AX$7</f>
        <v>14.033229999999996</v>
      </c>
      <c r="ADB8">
        <f t="shared" ref="ADB8" si="334">-ADB7+$AX$7</f>
        <v>14.134679999999999</v>
      </c>
      <c r="ADC8">
        <f t="shared" ref="ADC8" si="335">-ADC7+$AX$7</f>
        <v>14.220079999999999</v>
      </c>
      <c r="ADD8">
        <f t="shared" ref="ADD8" si="336">-ADD7+$AX$7</f>
        <v>14.230809999999998</v>
      </c>
      <c r="ADE8">
        <f t="shared" ref="ADE8" si="337">-ADE7+$AX$7</f>
        <v>14.223479999999999</v>
      </c>
      <c r="ADF8">
        <f t="shared" ref="ADF8" si="338">-ADF7+$AX$7</f>
        <v>14.220229999999997</v>
      </c>
      <c r="ADG8">
        <f t="shared" ref="ADG8" si="339">-ADG7+$AX$7</f>
        <v>14.220239999999997</v>
      </c>
      <c r="ADH8">
        <f t="shared" ref="ADH8" si="340">-ADH7+$AX$7</f>
        <v>14.220599999999997</v>
      </c>
      <c r="ADI8">
        <f t="shared" ref="ADI8" si="341">-ADI7+$AX$7</f>
        <v>14.220599999999997</v>
      </c>
      <c r="ADJ8">
        <f t="shared" ref="ADJ8" si="342">-ADJ7+$AX$7</f>
        <v>14.220599999999997</v>
      </c>
      <c r="ADK8">
        <f t="shared" ref="ADK8" si="343">-ADK7+$AX$7</f>
        <v>14.220599999999997</v>
      </c>
      <c r="ADL8">
        <f t="shared" ref="ADL8" si="344">-ADL7+$AX$7</f>
        <v>14.321909999999999</v>
      </c>
      <c r="ADM8">
        <f t="shared" ref="ADM8" si="345">-ADM7+$AX$7</f>
        <v>14.407239999999998</v>
      </c>
      <c r="ADN8">
        <f t="shared" ref="ADN8" si="346">-ADN7+$AX$7</f>
        <v>14.417989999999996</v>
      </c>
      <c r="ADO8">
        <f t="shared" ref="ADO8" si="347">-ADO7+$AX$7</f>
        <v>14.410649999999997</v>
      </c>
      <c r="ADP8">
        <f t="shared" ref="ADP8" si="348">-ADP7+$AX$7</f>
        <v>14.407389999999999</v>
      </c>
      <c r="ADQ8">
        <f t="shared" ref="ADQ8" si="349">-ADQ7+$AX$7</f>
        <v>14.407399999999999</v>
      </c>
      <c r="ADR8">
        <f t="shared" ref="ADR8" si="350">-ADR7+$AX$7</f>
        <v>14.407769999999999</v>
      </c>
      <c r="ADS8">
        <f t="shared" ref="ADS8" si="351">-ADS7+$AX$7</f>
        <v>14.407769999999999</v>
      </c>
      <c r="ADT8">
        <f t="shared" ref="ADT8" si="352">-ADT7+$AX$7</f>
        <v>14.407769999999999</v>
      </c>
      <c r="ADU8">
        <f t="shared" ref="ADU8" si="353">-ADU7+$AX$7</f>
        <v>14.407769999999999</v>
      </c>
      <c r="ADV8">
        <f t="shared" ref="ADV8" si="354">-ADV7+$AX$7</f>
        <v>14.508919999999996</v>
      </c>
      <c r="ADW8">
        <f t="shared" ref="ADW8" si="355">-ADW7+$AX$7</f>
        <v>14.594189999999998</v>
      </c>
      <c r="ADX8">
        <f t="shared" ref="ADX8" si="356">-ADX7+$AX$7</f>
        <v>14.604939999999999</v>
      </c>
      <c r="ADY8">
        <f t="shared" ref="ADY8" si="357">-ADY7+$AX$7</f>
        <v>14.597609999999996</v>
      </c>
      <c r="ADZ8">
        <f t="shared" ref="ADZ8" si="358">-ADZ7+$AX$7</f>
        <v>14.594339999999999</v>
      </c>
      <c r="AEA8">
        <f t="shared" ref="AEA8" si="359">-AEA7+$AX$7</f>
        <v>14.594339999999999</v>
      </c>
      <c r="AEB8">
        <f t="shared" ref="AEB8" si="360">-AEB7+$AX$7</f>
        <v>14.594709999999999</v>
      </c>
      <c r="AEC8">
        <f t="shared" ref="AEC8" si="361">-AEC7+$AX$7</f>
        <v>14.594709999999999</v>
      </c>
      <c r="AED8">
        <f t="shared" ref="AED8" si="362">-AED7+$AX$7</f>
        <v>14.594709999999999</v>
      </c>
      <c r="AEE8">
        <f t="shared" ref="AEE8" si="363">-AEE7+$AX$7</f>
        <v>14.594709999999999</v>
      </c>
      <c r="AEF8">
        <f t="shared" ref="AEF8" si="364">-AEF7+$AX$7</f>
        <v>14.695699999999999</v>
      </c>
      <c r="AEG8">
        <f t="shared" ref="AEG8" si="365">-AEG7+$AX$7</f>
        <v>14.780909999999999</v>
      </c>
      <c r="AEH8">
        <f t="shared" ref="AEH8" si="366">-AEH7+$AX$7</f>
        <v>14.791669999999996</v>
      </c>
      <c r="AEI8">
        <f t="shared" ref="AEI8" si="367">-AEI7+$AX$7</f>
        <v>14.784329999999997</v>
      </c>
      <c r="AEJ8">
        <f t="shared" ref="AEJ8" si="368">-AEJ7+$AX$7</f>
        <v>14.781059999999997</v>
      </c>
      <c r="AEK8">
        <f t="shared" ref="AEK8" si="369">-AEK7+$AX$7</f>
        <v>14.781069999999996</v>
      </c>
      <c r="AEL8">
        <f t="shared" ref="AEL8" si="370">-AEL7+$AX$7</f>
        <v>14.781429999999997</v>
      </c>
      <c r="AEM8">
        <f t="shared" ref="AEM8" si="371">-AEM7+$AX$7</f>
        <v>14.781429999999997</v>
      </c>
      <c r="AEN8">
        <f t="shared" ref="AEN8" si="372">-AEN7+$AX$7</f>
        <v>14.781429999999997</v>
      </c>
      <c r="AEO8">
        <f t="shared" ref="AEO8" si="373">-AEO7+$AX$7</f>
        <v>14.781429999999997</v>
      </c>
      <c r="AEP8">
        <f t="shared" ref="AEP8" si="374">-AEP7+$AX$7</f>
        <v>14.882259999999999</v>
      </c>
      <c r="AEQ8">
        <f t="shared" ref="AEQ8" si="375">-AEQ7+$AX$7</f>
        <v>14.967409999999997</v>
      </c>
      <c r="AER8">
        <f t="shared" ref="AER8" si="376">-AER7+$AX$7</f>
        <v>14.978179999999998</v>
      </c>
      <c r="AES8">
        <f t="shared" ref="AES8" si="377">-AES7+$AX$7</f>
        <v>14.970829999999999</v>
      </c>
      <c r="AET8">
        <f t="shared" ref="AET8" si="378">-AET7+$AX$7</f>
        <v>14.967549999999999</v>
      </c>
      <c r="AEU8">
        <f t="shared" ref="AEU8" si="379">-AEU7+$AX$7</f>
        <v>14.967559999999999</v>
      </c>
      <c r="AEV8">
        <f t="shared" ref="AEV8" si="380">-AEV7+$AX$7</f>
        <v>14.967929999999999</v>
      </c>
      <c r="AEW8">
        <f t="shared" ref="AEW8" si="381">-AEW7+$AX$7</f>
        <v>14.967929999999999</v>
      </c>
      <c r="AEX8">
        <f t="shared" ref="AEX8" si="382">-AEX7+$AX$7</f>
        <v>14.967929999999999</v>
      </c>
      <c r="AEY8">
        <f t="shared" ref="AEY8" si="383">-AEY7+$AX$7</f>
        <v>14.967929999999999</v>
      </c>
      <c r="AEZ8">
        <f t="shared" ref="AEZ8" si="384">-AEZ7+$AX$7</f>
        <v>15.068589999999997</v>
      </c>
      <c r="AFA8">
        <f t="shared" ref="AFA8" si="385">-AFA7+$AX$7</f>
        <v>15.153669999999998</v>
      </c>
      <c r="AFB8">
        <f t="shared" ref="AFB8" si="386">-AFB7+$AX$7</f>
        <v>15.164449999999999</v>
      </c>
      <c r="AFC8">
        <f t="shared" ref="AFC8" si="387">-AFC7+$AX$7</f>
        <v>15.157099999999996</v>
      </c>
      <c r="AFD8">
        <f t="shared" ref="AFD8" si="388">-AFD7+$AX$7</f>
        <v>15.153819999999996</v>
      </c>
      <c r="AFE8">
        <f t="shared" ref="AFE8" si="389">-AFE7+$AX$7</f>
        <v>15.153819999999996</v>
      </c>
      <c r="AFF8">
        <f t="shared" ref="AFF8" si="390">-AFF7+$AX$7</f>
        <v>15.154189999999996</v>
      </c>
      <c r="AFG8">
        <f t="shared" ref="AFG8" si="391">-AFG7+$AX$7</f>
        <v>15.154189999999996</v>
      </c>
      <c r="AFH8">
        <f t="shared" ref="AFH8" si="392">-AFH7+$AX$7</f>
        <v>15.154189999999996</v>
      </c>
      <c r="AFI8">
        <f t="shared" ref="AFI8" si="393">-AFI7+$AX$7</f>
        <v>15.154189999999996</v>
      </c>
      <c r="AFJ8">
        <f t="shared" ref="AFJ8" si="394">-AFJ7+$AX$7</f>
        <v>15.254679999999997</v>
      </c>
      <c r="AFK8">
        <f t="shared" ref="AFK8" si="395">-AFK7+$AX$7</f>
        <v>15.339689999999997</v>
      </c>
      <c r="AFL8">
        <f t="shared" ref="AFL8" si="396">-AFL7+$AX$7</f>
        <v>15.350479999999997</v>
      </c>
      <c r="AFM8">
        <f t="shared" ref="AFM8" si="397">-AFM7+$AX$7</f>
        <v>15.343129999999999</v>
      </c>
      <c r="AFN8">
        <f t="shared" ref="AFN8" si="398">-AFN7+$AX$7</f>
        <v>15.339839999999999</v>
      </c>
      <c r="AFO8">
        <f t="shared" ref="AFO8" si="399">-AFO7+$AX$7</f>
        <v>15.339839999999999</v>
      </c>
      <c r="AFP8">
        <f t="shared" ref="AFP8" si="400">-AFP7+$AX$7</f>
        <v>15.340209999999999</v>
      </c>
      <c r="AFQ8">
        <f t="shared" ref="AFQ8" si="401">-AFQ7+$AX$7</f>
        <v>15.340209999999999</v>
      </c>
      <c r="AFR8">
        <f t="shared" ref="AFR8" si="402">-AFR7+$AX$7</f>
        <v>15.340209999999999</v>
      </c>
      <c r="AFS8">
        <f t="shared" ref="AFS8" si="403">-AFS7+$AX$7</f>
        <v>15.340209999999999</v>
      </c>
      <c r="AFT8">
        <f t="shared" ref="AFT8" si="404">-AFT7+$AX$7</f>
        <v>15.440529999999999</v>
      </c>
      <c r="AFU8">
        <f t="shared" ref="AFU8" si="405">-AFU7+$AX$7</f>
        <v>15.525459999999999</v>
      </c>
      <c r="AFV8">
        <f t="shared" ref="AFV8" si="406">-AFV7+$AX$7</f>
        <v>15.536269999999998</v>
      </c>
      <c r="AFW8">
        <f t="shared" ref="AFW8" si="407">-AFW7+$AX$7</f>
        <v>15.528909999999996</v>
      </c>
      <c r="AFX8">
        <f t="shared" ref="AFX8" si="408">-AFX7+$AX$7</f>
        <v>15.525609999999997</v>
      </c>
      <c r="AFY8">
        <f t="shared" ref="AFY8" si="409">-AFY7+$AX$7</f>
        <v>15.525609999999997</v>
      </c>
      <c r="AFZ8">
        <f t="shared" ref="AFZ8" si="410">-AFZ7+$AX$7</f>
        <v>15.525979999999997</v>
      </c>
      <c r="AGA8">
        <f t="shared" ref="AGA8" si="411">-AGA7+$AX$7</f>
        <v>15.525979999999997</v>
      </c>
      <c r="AGB8">
        <f t="shared" ref="AGB8" si="412">-AGB7+$AX$7</f>
        <v>15.525979999999997</v>
      </c>
      <c r="AGC8">
        <f t="shared" ref="AGC8" si="413">-AGC7+$AX$7</f>
        <v>15.525979999999997</v>
      </c>
      <c r="AGD8">
        <f t="shared" ref="AGD8" si="414">-AGD7+$AX$7</f>
        <v>15.626119999999997</v>
      </c>
      <c r="AGE8">
        <f t="shared" ref="AGE8" si="415">-AGE7+$AX$7</f>
        <v>15.710979999999999</v>
      </c>
      <c r="AGF8">
        <f t="shared" ref="AGF8" si="416">-AGF7+$AX$7</f>
        <v>15.721799999999998</v>
      </c>
      <c r="AGG8">
        <f t="shared" ref="AGG8" si="417">-AGG7+$AX$7</f>
        <v>15.714429999999997</v>
      </c>
      <c r="AGH8">
        <f t="shared" ref="AGH8" si="418">-AGH7+$AX$7</f>
        <v>15.711129999999997</v>
      </c>
      <c r="AGI8">
        <f t="shared" ref="AGI8" si="419">-AGI7+$AX$7</f>
        <v>15.711119999999998</v>
      </c>
      <c r="AGJ8">
        <f t="shared" ref="AGJ8" si="420">-AGJ7+$AX$7</f>
        <v>15.711499999999997</v>
      </c>
      <c r="AGK8">
        <f t="shared" ref="AGK8" si="421">-AGK7+$AX$7</f>
        <v>15.711499999999997</v>
      </c>
      <c r="AGL8">
        <f t="shared" ref="AGL8" si="422">-AGL7+$AX$7</f>
        <v>15.711499999999997</v>
      </c>
      <c r="AGM8">
        <f t="shared" ref="AGM8" si="423">-AGM7+$AX$7</f>
        <v>15.711499999999997</v>
      </c>
      <c r="AGN8">
        <f t="shared" ref="AGN8" si="424">-AGN7+$AX$7</f>
        <v>15.811459999999997</v>
      </c>
      <c r="AGO8">
        <f t="shared" ref="AGO8" si="425">-AGO7+$AX$7</f>
        <v>15.896249999999998</v>
      </c>
      <c r="AGP8">
        <f t="shared" ref="AGP8" si="426">-AGP7+$AX$7</f>
        <v>15.907069999999997</v>
      </c>
      <c r="AGQ8">
        <f t="shared" ref="AGQ8" si="427">-AGQ7+$AX$7</f>
        <v>15.899699999999999</v>
      </c>
      <c r="AGR8">
        <f t="shared" ref="AGR8" si="428">-AGR7+$AX$7</f>
        <v>15.896389999999997</v>
      </c>
      <c r="AGS8">
        <f t="shared" ref="AGS8" si="429">-AGS7+$AX$7</f>
        <v>15.896389999999997</v>
      </c>
      <c r="AGT8">
        <f t="shared" ref="AGT8" si="430">-AGT7+$AX$7</f>
        <v>15.896759999999997</v>
      </c>
      <c r="AGU8">
        <f t="shared" ref="AGU8" si="431">-AGU7+$AX$7</f>
        <v>15.896759999999997</v>
      </c>
      <c r="AGV8">
        <f t="shared" ref="AGV8" si="432">-AGV7+$AX$7</f>
        <v>15.896759999999997</v>
      </c>
      <c r="AGW8">
        <f t="shared" ref="AGW8" si="433">-AGW7+$AX$7</f>
        <v>15.896759999999997</v>
      </c>
      <c r="AGX8">
        <f t="shared" ref="AGX8" si="434">-AGX7+$AX$7</f>
        <v>15.996529999999996</v>
      </c>
      <c r="AGY8">
        <f t="shared" ref="AGY8" si="435">-AGY7+$AX$7</f>
        <v>16.081239999999998</v>
      </c>
      <c r="AGZ8">
        <f t="shared" ref="AGZ8" si="436">-AGZ7+$AX$7</f>
        <v>16.092079999999999</v>
      </c>
      <c r="AHA8">
        <f t="shared" ref="AHA8" si="437">-AHA7+$AX$7</f>
        <v>16.084709999999998</v>
      </c>
      <c r="AHB8">
        <f t="shared" ref="AHB8" si="438">-AHB7+$AX$7</f>
        <v>16.081379999999999</v>
      </c>
      <c r="AHC8">
        <f t="shared" ref="AHC8" si="439">-AHC7+$AX$7</f>
        <v>16.081379999999999</v>
      </c>
      <c r="AHD8">
        <f t="shared" ref="AHD8" si="440">-AHD7+$AX$7</f>
        <v>16.081759999999999</v>
      </c>
      <c r="AHE8">
        <f t="shared" ref="AHE8" si="441">-AHE7+$AX$7</f>
        <v>16.081759999999999</v>
      </c>
      <c r="AHF8">
        <f t="shared" ref="AHF8" si="442">-AHF7+$AX$7</f>
        <v>16.081759999999999</v>
      </c>
      <c r="AHG8">
        <f t="shared" ref="AHG8" si="443">-AHG7+$AX$7</f>
        <v>16.081759999999999</v>
      </c>
      <c r="AHH8">
        <f t="shared" ref="AHH8" si="444">-AHH7+$AX$7</f>
        <v>16.181329999999999</v>
      </c>
      <c r="AHI8">
        <f t="shared" ref="AHI8" si="445">-AHI7+$AX$7</f>
        <v>16.265959999999996</v>
      </c>
      <c r="AHJ8">
        <f t="shared" ref="AHJ8" si="446">-AHJ7+$AX$7</f>
        <v>16.276809999999998</v>
      </c>
      <c r="AHK8">
        <f t="shared" ref="AHK8" si="447">-AHK7+$AX$7</f>
        <v>16.269439999999999</v>
      </c>
      <c r="AHL8">
        <f t="shared" ref="AHL8" si="448">-AHL7+$AX$7</f>
        <v>16.266109999999998</v>
      </c>
      <c r="AHM8">
        <f t="shared" ref="AHM8" si="449">-AHM7+$AX$7</f>
        <v>16.266099999999998</v>
      </c>
      <c r="AHN8">
        <f t="shared" ref="AHN8" si="450">-AHN7+$AX$7</f>
        <v>16.266479999999998</v>
      </c>
      <c r="AHO8">
        <f t="shared" ref="AHO8" si="451">-AHO7+$AX$7</f>
        <v>16.266479999999998</v>
      </c>
      <c r="AHP8">
        <f t="shared" ref="AHP8" si="452">-AHP7+$AX$7</f>
        <v>16.266479999999998</v>
      </c>
      <c r="AHQ8">
        <f t="shared" ref="AHQ8" si="453">-AHQ7+$AX$7</f>
        <v>16.266479999999998</v>
      </c>
      <c r="AHR8">
        <f t="shared" ref="AHR8" si="454">-AHR7+$AX$7</f>
        <v>16.365859999999998</v>
      </c>
      <c r="AHS8">
        <f t="shared" ref="AHS8" si="455">-AHS7+$AX$7</f>
        <v>16.450409999999998</v>
      </c>
      <c r="AHT8">
        <f t="shared" ref="AHT8" si="456">-AHT7+$AX$7</f>
        <v>16.461269999999999</v>
      </c>
      <c r="AHU8">
        <f t="shared" ref="AHU8" si="457">-AHU7+$AX$7</f>
        <v>16.453889999999998</v>
      </c>
      <c r="AHV8">
        <f t="shared" ref="AHV8" si="458">-AHV7+$AX$7</f>
        <v>16.450549999999996</v>
      </c>
      <c r="AHW8">
        <f t="shared" ref="AHW8" si="459">-AHW7+$AX$7</f>
        <v>16.450539999999997</v>
      </c>
      <c r="AHX8">
        <f t="shared" ref="AHX8:AHY8" si="460">-AHX7+$AX$7</f>
        <v>16.450919999999996</v>
      </c>
      <c r="AHY8">
        <f t="shared" si="460"/>
        <v>16.450919999999996</v>
      </c>
      <c r="AHZ8">
        <f t="shared" ref="AHZ8" si="461">-AHZ7+$AX$7</f>
        <v>16.450919999999996</v>
      </c>
      <c r="AIA8">
        <f t="shared" ref="AIA8" si="462">-AIA7+$AX$7</f>
        <v>16.450919999999996</v>
      </c>
      <c r="AIB8">
        <f t="shared" ref="AIB8" si="463">-AIB7+$AX$7</f>
        <v>16.550099999999997</v>
      </c>
      <c r="AIC8">
        <f t="shared" ref="AIC8" si="464">-AIC7+$AX$7</f>
        <v>16.634559999999997</v>
      </c>
      <c r="AID8">
        <f t="shared" ref="AID8" si="465">-AID7+$AX$7</f>
        <v>16.645439999999997</v>
      </c>
      <c r="AIE8">
        <f t="shared" ref="AIE8" si="466">-AIE7+$AX$7</f>
        <v>16.638049999999996</v>
      </c>
      <c r="AIF8">
        <f t="shared" ref="AIF8" si="467">-AIF7+$AX$7</f>
        <v>16.634699999999999</v>
      </c>
      <c r="AIG8">
        <f t="shared" ref="AIG8" si="468">-AIG7+$AX$7</f>
        <v>16.634689999999999</v>
      </c>
      <c r="AIH8">
        <f t="shared" ref="AIH8" si="469">-AIH7+$AX$7</f>
        <v>16.635069999999999</v>
      </c>
      <c r="AII8">
        <f t="shared" ref="AII8" si="470">-AII7+$AX$7</f>
        <v>16.635069999999999</v>
      </c>
      <c r="AIJ8">
        <f t="shared" ref="AIJ8" si="471">-AIJ7+$AX$7</f>
        <v>16.635069999999999</v>
      </c>
      <c r="AIK8">
        <f t="shared" ref="AIK8" si="472">-AIK7+$AX$7</f>
        <v>16.635069999999999</v>
      </c>
      <c r="AIL8">
        <f t="shared" ref="AIL8" si="473">-AIL7+$AX$7</f>
        <v>16.734039999999997</v>
      </c>
      <c r="AIM8">
        <f t="shared" ref="AIM8" si="474">-AIM7+$AX$7</f>
        <v>16.818419999999996</v>
      </c>
      <c r="AIN8">
        <f t="shared" ref="AIN8" si="475">-AIN7+$AX$7</f>
        <v>16.829309999999996</v>
      </c>
      <c r="AIO8">
        <f t="shared" ref="AIO8" si="476">-AIO7+$AX$7</f>
        <v>16.821919999999999</v>
      </c>
      <c r="AIP8">
        <f t="shared" ref="AIP8" si="477">-AIP7+$AX$7</f>
        <v>16.818559999999998</v>
      </c>
      <c r="AIQ8">
        <f t="shared" ref="AIQ8" si="478">-AIQ7+$AX$7</f>
        <v>16.818549999999998</v>
      </c>
      <c r="AIR8">
        <f t="shared" ref="AIR8" si="479">-AIR7+$AX$7</f>
        <v>16.818929999999998</v>
      </c>
      <c r="AIS8">
        <f t="shared" ref="AIS8" si="480">-AIS7+$AX$7</f>
        <v>16.818929999999998</v>
      </c>
      <c r="AIT8">
        <f t="shared" ref="AIT8" si="481">-AIT7+$AX$7</f>
        <v>16.818929999999998</v>
      </c>
      <c r="AIU8">
        <f t="shared" ref="AIU8" si="482">-AIU7+$AX$7</f>
        <v>16.818929999999998</v>
      </c>
      <c r="AIV8">
        <f t="shared" ref="AIV8" si="483">-AIV7+$AX$7</f>
        <v>16.917689999999997</v>
      </c>
      <c r="AIW8">
        <f t="shared" ref="AIW8" si="484">-AIW7+$AX$7</f>
        <v>17.001979999999996</v>
      </c>
      <c r="AIX8">
        <f t="shared" ref="AIX8" si="485">-AIX7+$AX$7</f>
        <v>17.012879999999999</v>
      </c>
      <c r="AIY8">
        <f t="shared" ref="AIY8" si="486">-AIY7+$AX$7</f>
        <v>17.005489999999998</v>
      </c>
      <c r="AIZ8">
        <f t="shared" ref="AIZ8" si="487">-AIZ7+$AX$7</f>
        <v>17.002119999999998</v>
      </c>
      <c r="AJA8">
        <f t="shared" ref="AJA8" si="488">-AJA7+$AX$7</f>
        <v>17.002099999999999</v>
      </c>
      <c r="AJB8">
        <f t="shared" ref="AJB8" si="489">-AJB7+$AX$7</f>
        <v>17.002489999999998</v>
      </c>
      <c r="AJC8">
        <f t="shared" ref="AJC8" si="490">-AJC7+$AX$7</f>
        <v>17.002489999999998</v>
      </c>
      <c r="AJD8">
        <f t="shared" ref="AJD8" si="491">-AJD7+$AX$7</f>
        <v>17.002489999999998</v>
      </c>
      <c r="AJE8">
        <f t="shared" ref="AJE8" si="492">-AJE7+$AX$7</f>
        <v>17.002489999999998</v>
      </c>
      <c r="AJF8">
        <f t="shared" ref="AJF8" si="493">-AJF7+$AX$7</f>
        <v>17.101029999999998</v>
      </c>
      <c r="AJG8">
        <f t="shared" ref="AJG8" si="494">-AJG7+$AX$7</f>
        <v>17.185229999999997</v>
      </c>
      <c r="AJH8">
        <f t="shared" ref="AJH8" si="495">-AJH7+$AX$7</f>
        <v>17.196139999999996</v>
      </c>
      <c r="AJI8">
        <f t="shared" ref="AJI8" si="496">-AJI7+$AX$7</f>
        <v>17.188739999999999</v>
      </c>
      <c r="AJJ8">
        <f t="shared" ref="AJJ8" si="497">-AJJ7+$AX$7</f>
        <v>17.185359999999999</v>
      </c>
      <c r="AJK8">
        <f t="shared" ref="AJK8" si="498">-AJK7+$AX$7</f>
        <v>17.185349999999996</v>
      </c>
      <c r="AJL8">
        <f t="shared" ref="AJL8" si="499">-AJL7+$AX$7</f>
        <v>17.185739999999999</v>
      </c>
      <c r="AJM8">
        <f t="shared" ref="AJM8" si="500">-AJM7+$AX$7</f>
        <v>17.185739999999999</v>
      </c>
      <c r="AJN8">
        <f t="shared" ref="AJN8" si="501">-AJN7+$AX$7</f>
        <v>17.185739999999999</v>
      </c>
      <c r="AJO8">
        <f t="shared" ref="AJO8" si="502">-AJO7+$AX$7</f>
        <v>17.185739999999999</v>
      </c>
      <c r="AJP8">
        <f t="shared" ref="AJP8" si="503">-AJP7+$AX$7</f>
        <v>17.284049999999997</v>
      </c>
      <c r="AJQ8">
        <f t="shared" ref="AJQ8" si="504">-AJQ7+$AX$7</f>
        <v>17.368149999999996</v>
      </c>
      <c r="AJR8">
        <f t="shared" ref="AJR8" si="505">-AJR7+$AX$7</f>
        <v>17.379079999999998</v>
      </c>
      <c r="AJS8">
        <f t="shared" ref="AJS8" si="506">-AJS7+$AX$7</f>
        <v>17.371679999999998</v>
      </c>
      <c r="AJT8">
        <f t="shared" ref="AJT8" si="507">-AJT7+$AX$7</f>
        <v>17.368289999999998</v>
      </c>
      <c r="AJU8">
        <f t="shared" ref="AJU8" si="508">-AJU7+$AX$7</f>
        <v>17.368269999999999</v>
      </c>
      <c r="AJV8">
        <f t="shared" ref="AJV8" si="509">-AJV7+$AX$7</f>
        <v>17.368659999999998</v>
      </c>
      <c r="AJW8">
        <f t="shared" ref="AJW8" si="510">-AJW7+$AX$7</f>
        <v>17.368659999999998</v>
      </c>
      <c r="AJX8">
        <f t="shared" ref="AJX8" si="511">-AJX7+$AX$7</f>
        <v>17.368659999999998</v>
      </c>
      <c r="AJY8">
        <f t="shared" ref="AJY8" si="512">-AJY7+$AX$7</f>
        <v>17.368659999999998</v>
      </c>
      <c r="AJZ8">
        <f t="shared" ref="AJZ8" si="513">-AJZ7+$AX$7</f>
        <v>17.466749999999998</v>
      </c>
      <c r="AKA8">
        <f t="shared" ref="AKA8" si="514">-AKA7+$AX$7</f>
        <v>17.550749999999997</v>
      </c>
      <c r="AKB8">
        <f t="shared" ref="AKB8" si="515">-AKB7+$AX$7</f>
        <v>17.561689999999999</v>
      </c>
      <c r="AKC8">
        <f t="shared" ref="AKC8" si="516">-AKC7+$AX$7</f>
        <v>17.554279999999999</v>
      </c>
      <c r="AKD8">
        <f t="shared" ref="AKD8" si="517">-AKD7+$AX$7</f>
        <v>17.550889999999999</v>
      </c>
      <c r="AKE8">
        <f t="shared" ref="AKE8" si="518">-AKE7+$AX$7</f>
        <v>17.550869999999996</v>
      </c>
      <c r="AKF8">
        <f t="shared" ref="AKF8" si="519">-AKF7+$AX$7</f>
        <v>17.551259999999999</v>
      </c>
      <c r="AKG8">
        <f t="shared" ref="AKG8" si="520">-AKG7+$AX$7</f>
        <v>17.551259999999999</v>
      </c>
      <c r="AKH8">
        <f t="shared" ref="AKH8" si="521">-AKH7+$AX$7</f>
        <v>17.551259999999999</v>
      </c>
      <c r="AKI8">
        <f t="shared" ref="AKI8" si="522">-AKI7+$AX$7</f>
        <v>17.551259999999999</v>
      </c>
      <c r="AKJ8">
        <f t="shared" ref="AKJ8" si="523">-AKJ7+$AX$7</f>
        <v>17.649109999999997</v>
      </c>
      <c r="AKK8">
        <f t="shared" ref="AKK8" si="524">-AKK7+$AX$7</f>
        <v>17.733009999999997</v>
      </c>
      <c r="AKL8">
        <f t="shared" ref="AKL8" si="525">-AKL7+$AX$7</f>
        <v>17.743959999999998</v>
      </c>
      <c r="AKM8">
        <f t="shared" ref="AKM8" si="526">-AKM7+$AX$7</f>
        <v>17.736549999999998</v>
      </c>
      <c r="AKN8">
        <f t="shared" ref="AKN8" si="527">-AKN7+$AX$7</f>
        <v>17.733149999999998</v>
      </c>
      <c r="AKO8">
        <f t="shared" ref="AKO8" si="528">-AKO7+$AX$7</f>
        <v>17.733119999999996</v>
      </c>
      <c r="AKP8">
        <f t="shared" ref="AKP8" si="529">-AKP7+$AX$7</f>
        <v>17.733519999999999</v>
      </c>
      <c r="AKQ8">
        <f t="shared" ref="AKQ8" si="530">-AKQ7+$AX$7</f>
        <v>17.733519999999999</v>
      </c>
      <c r="AKR8">
        <f t="shared" ref="AKR8" si="531">-AKR7+$AX$7</f>
        <v>17.733519999999999</v>
      </c>
      <c r="AKS8">
        <f t="shared" ref="AKS8" si="532">-AKS7+$AX$7</f>
        <v>17.733519999999999</v>
      </c>
      <c r="AKT8">
        <f t="shared" ref="AKT8" si="533">-AKT7+$AX$7</f>
        <v>17.831129999999998</v>
      </c>
      <c r="AKU8">
        <f t="shared" ref="AKU8" si="534">-AKU7+$AX$7</f>
        <v>17.914919999999999</v>
      </c>
      <c r="AKV8">
        <f t="shared" ref="AKV8" si="535">-AKV7+$AX$7</f>
        <v>17.925889999999999</v>
      </c>
      <c r="AKW8">
        <f t="shared" ref="AKW8" si="536">-AKW7+$AX$7</f>
        <v>17.918469999999999</v>
      </c>
      <c r="AKX8">
        <f t="shared" ref="AKX8" si="537">-AKX7+$AX$7</f>
        <v>17.915059999999997</v>
      </c>
      <c r="AKY8">
        <f t="shared" ref="AKY8" si="538">-AKY7+$AX$7</f>
        <v>17.915029999999998</v>
      </c>
      <c r="AKZ8">
        <f t="shared" ref="AKZ8" si="539">-AKZ7+$AX$7</f>
        <v>17.915429999999997</v>
      </c>
      <c r="ALA8">
        <f t="shared" ref="ALA8" si="540">-ALA7+$AX$7</f>
        <v>17.915429999999997</v>
      </c>
      <c r="ALB8">
        <f t="shared" ref="ALB8" si="541">-ALB7+$AX$7</f>
        <v>17.915429999999997</v>
      </c>
      <c r="ALC8">
        <f t="shared" ref="ALC8" si="542">-ALC7+$AX$7</f>
        <v>17.915429999999997</v>
      </c>
      <c r="ALD8">
        <f t="shared" ref="ALD8" si="543">-ALD7+$AX$7</f>
        <v>18.012789999999999</v>
      </c>
      <c r="ALE8">
        <f t="shared" ref="ALE8" si="544">-ALE7+$AX$7</f>
        <v>18.096469999999997</v>
      </c>
      <c r="ALF8">
        <f t="shared" ref="ALF8" si="545">-ALF7+$AX$7</f>
        <v>18.107459999999996</v>
      </c>
      <c r="ALG8">
        <f t="shared" ref="ALG8" si="546">-ALG7+$AX$7</f>
        <v>18.100039999999996</v>
      </c>
      <c r="ALH8">
        <f t="shared" ref="ALH8" si="547">-ALH7+$AX$7</f>
        <v>18.096609999999998</v>
      </c>
      <c r="ALI8">
        <f t="shared" ref="ALI8" si="548">-ALI7+$AX$7</f>
        <v>18.096589999999999</v>
      </c>
      <c r="ALJ8">
        <f t="shared" ref="ALJ8" si="549">-ALJ7+$AX$7</f>
        <v>18.096979999999999</v>
      </c>
      <c r="ALK8">
        <f t="shared" ref="ALK8" si="550">-ALK7+$AX$7</f>
        <v>18.096979999999999</v>
      </c>
      <c r="ALL8">
        <f t="shared" ref="ALL8" si="551">-ALL7+$AX$7</f>
        <v>18.096979999999999</v>
      </c>
    </row>
    <row r="9" spans="1:1000" x14ac:dyDescent="0.3">
      <c r="A9">
        <f>A2/10</f>
        <v>0</v>
      </c>
      <c r="B9">
        <f t="shared" ref="B9:BM9" si="552">B2/10</f>
        <v>0</v>
      </c>
      <c r="C9">
        <f t="shared" si="552"/>
        <v>0</v>
      </c>
      <c r="D9">
        <f t="shared" si="552"/>
        <v>0</v>
      </c>
      <c r="E9">
        <f t="shared" si="552"/>
        <v>0</v>
      </c>
      <c r="F9">
        <f t="shared" si="552"/>
        <v>0</v>
      </c>
      <c r="G9">
        <f t="shared" si="552"/>
        <v>0</v>
      </c>
      <c r="H9">
        <f t="shared" si="552"/>
        <v>0</v>
      </c>
      <c r="I9">
        <f t="shared" si="552"/>
        <v>0</v>
      </c>
      <c r="J9">
        <f t="shared" si="552"/>
        <v>0</v>
      </c>
      <c r="K9">
        <f t="shared" si="552"/>
        <v>0</v>
      </c>
      <c r="L9">
        <f t="shared" si="552"/>
        <v>0</v>
      </c>
      <c r="M9">
        <f t="shared" si="552"/>
        <v>0</v>
      </c>
      <c r="N9">
        <f t="shared" si="552"/>
        <v>0</v>
      </c>
      <c r="O9">
        <f t="shared" si="552"/>
        <v>0</v>
      </c>
      <c r="P9">
        <f t="shared" si="552"/>
        <v>0</v>
      </c>
      <c r="Q9">
        <f t="shared" si="552"/>
        <v>0</v>
      </c>
      <c r="R9">
        <f t="shared" si="552"/>
        <v>0</v>
      </c>
      <c r="S9">
        <f t="shared" si="552"/>
        <v>0</v>
      </c>
      <c r="T9">
        <f t="shared" si="552"/>
        <v>0</v>
      </c>
      <c r="U9">
        <f t="shared" si="552"/>
        <v>0</v>
      </c>
      <c r="V9">
        <f t="shared" si="552"/>
        <v>0</v>
      </c>
      <c r="W9">
        <f t="shared" si="552"/>
        <v>0</v>
      </c>
      <c r="X9">
        <f t="shared" si="552"/>
        <v>0</v>
      </c>
      <c r="Y9">
        <f t="shared" si="552"/>
        <v>0</v>
      </c>
      <c r="Z9">
        <f t="shared" si="552"/>
        <v>0</v>
      </c>
      <c r="AA9">
        <f t="shared" si="552"/>
        <v>0</v>
      </c>
      <c r="AB9">
        <f t="shared" si="552"/>
        <v>0</v>
      </c>
      <c r="AC9">
        <f t="shared" si="552"/>
        <v>0</v>
      </c>
      <c r="AD9">
        <f t="shared" si="552"/>
        <v>0</v>
      </c>
      <c r="AE9">
        <f t="shared" si="552"/>
        <v>0</v>
      </c>
      <c r="AF9">
        <f t="shared" si="552"/>
        <v>0</v>
      </c>
      <c r="AG9">
        <f t="shared" si="552"/>
        <v>0</v>
      </c>
      <c r="AH9">
        <f t="shared" si="552"/>
        <v>0</v>
      </c>
      <c r="AI9">
        <f t="shared" si="552"/>
        <v>0</v>
      </c>
      <c r="AJ9">
        <f t="shared" si="552"/>
        <v>0</v>
      </c>
      <c r="AK9">
        <f t="shared" si="552"/>
        <v>0</v>
      </c>
      <c r="AL9">
        <f t="shared" si="552"/>
        <v>0</v>
      </c>
      <c r="AM9">
        <f t="shared" si="552"/>
        <v>0</v>
      </c>
      <c r="AN9">
        <f t="shared" si="552"/>
        <v>0</v>
      </c>
      <c r="AO9">
        <f t="shared" si="552"/>
        <v>0</v>
      </c>
      <c r="AP9">
        <f t="shared" si="552"/>
        <v>0</v>
      </c>
      <c r="AQ9">
        <f t="shared" si="552"/>
        <v>0</v>
      </c>
      <c r="AR9">
        <f t="shared" si="552"/>
        <v>0</v>
      </c>
      <c r="AS9">
        <f t="shared" si="552"/>
        <v>0</v>
      </c>
      <c r="AT9">
        <f t="shared" si="552"/>
        <v>0</v>
      </c>
      <c r="AU9">
        <f t="shared" si="552"/>
        <v>0</v>
      </c>
      <c r="AV9">
        <f t="shared" si="552"/>
        <v>0</v>
      </c>
      <c r="AW9">
        <f t="shared" si="552"/>
        <v>0</v>
      </c>
      <c r="AX9">
        <f t="shared" si="552"/>
        <v>0</v>
      </c>
      <c r="AY9">
        <f t="shared" si="552"/>
        <v>0.2</v>
      </c>
      <c r="AZ9">
        <f t="shared" si="552"/>
        <v>0.2</v>
      </c>
      <c r="BA9">
        <f t="shared" si="552"/>
        <v>0.2</v>
      </c>
      <c r="BB9">
        <f t="shared" si="552"/>
        <v>0.2</v>
      </c>
      <c r="BC9">
        <f t="shared" si="552"/>
        <v>0.2</v>
      </c>
      <c r="BD9">
        <f t="shared" si="552"/>
        <v>0.2</v>
      </c>
      <c r="BE9">
        <f t="shared" si="552"/>
        <v>0.2</v>
      </c>
      <c r="BF9">
        <f t="shared" si="552"/>
        <v>0.2</v>
      </c>
      <c r="BG9">
        <f t="shared" si="552"/>
        <v>0.2</v>
      </c>
      <c r="BH9">
        <f t="shared" si="552"/>
        <v>0.2</v>
      </c>
      <c r="BI9">
        <f t="shared" si="552"/>
        <v>0.4</v>
      </c>
      <c r="BJ9">
        <f t="shared" si="552"/>
        <v>0.4</v>
      </c>
      <c r="BK9">
        <f t="shared" si="552"/>
        <v>0.4</v>
      </c>
      <c r="BL9">
        <f t="shared" si="552"/>
        <v>0.4</v>
      </c>
      <c r="BM9">
        <f t="shared" si="552"/>
        <v>0.4</v>
      </c>
      <c r="BN9">
        <f t="shared" ref="BN9:DY9" si="553">BN2/10</f>
        <v>0.4</v>
      </c>
      <c r="BO9">
        <f t="shared" si="553"/>
        <v>0.4</v>
      </c>
      <c r="BP9">
        <f t="shared" si="553"/>
        <v>0.4</v>
      </c>
      <c r="BQ9">
        <f t="shared" si="553"/>
        <v>0.4</v>
      </c>
      <c r="BR9">
        <f t="shared" si="553"/>
        <v>0.4</v>
      </c>
      <c r="BS9">
        <f t="shared" si="553"/>
        <v>0.6</v>
      </c>
      <c r="BT9">
        <f t="shared" si="553"/>
        <v>0.6</v>
      </c>
      <c r="BU9">
        <f t="shared" si="553"/>
        <v>0.6</v>
      </c>
      <c r="BV9">
        <f t="shared" si="553"/>
        <v>0.6</v>
      </c>
      <c r="BW9">
        <f t="shared" si="553"/>
        <v>0.6</v>
      </c>
      <c r="BX9">
        <f t="shared" si="553"/>
        <v>0.6</v>
      </c>
      <c r="BY9">
        <f t="shared" si="553"/>
        <v>0.6</v>
      </c>
      <c r="BZ9">
        <f t="shared" si="553"/>
        <v>0.6</v>
      </c>
      <c r="CA9">
        <f t="shared" si="553"/>
        <v>0.6</v>
      </c>
      <c r="CB9">
        <f t="shared" si="553"/>
        <v>0.6</v>
      </c>
      <c r="CC9">
        <f t="shared" si="553"/>
        <v>0.8</v>
      </c>
      <c r="CD9">
        <f t="shared" si="553"/>
        <v>0.8</v>
      </c>
      <c r="CE9">
        <f t="shared" si="553"/>
        <v>0.8</v>
      </c>
      <c r="CF9">
        <f t="shared" si="553"/>
        <v>0.8</v>
      </c>
      <c r="CG9">
        <f t="shared" si="553"/>
        <v>0.8</v>
      </c>
      <c r="CH9">
        <f t="shared" si="553"/>
        <v>0.8</v>
      </c>
      <c r="CI9">
        <f t="shared" si="553"/>
        <v>0.8</v>
      </c>
      <c r="CJ9">
        <f t="shared" si="553"/>
        <v>0.8</v>
      </c>
      <c r="CK9">
        <f t="shared" si="553"/>
        <v>0.8</v>
      </c>
      <c r="CL9">
        <f t="shared" si="553"/>
        <v>0.8</v>
      </c>
      <c r="CM9">
        <f t="shared" si="553"/>
        <v>1</v>
      </c>
      <c r="CN9">
        <f t="shared" si="553"/>
        <v>1</v>
      </c>
      <c r="CO9">
        <f t="shared" si="553"/>
        <v>1</v>
      </c>
      <c r="CP9">
        <f t="shared" si="553"/>
        <v>1</v>
      </c>
      <c r="CQ9">
        <f t="shared" si="553"/>
        <v>1</v>
      </c>
      <c r="CR9">
        <f t="shared" si="553"/>
        <v>1</v>
      </c>
      <c r="CS9">
        <f t="shared" si="553"/>
        <v>1</v>
      </c>
      <c r="CT9">
        <f t="shared" si="553"/>
        <v>1</v>
      </c>
      <c r="CU9">
        <f t="shared" si="553"/>
        <v>1</v>
      </c>
      <c r="CV9">
        <f t="shared" si="553"/>
        <v>1</v>
      </c>
      <c r="CW9">
        <f t="shared" si="553"/>
        <v>1.2</v>
      </c>
      <c r="CX9">
        <f t="shared" si="553"/>
        <v>1.2</v>
      </c>
      <c r="CY9">
        <f t="shared" si="553"/>
        <v>1.2</v>
      </c>
      <c r="CZ9">
        <f t="shared" si="553"/>
        <v>1.2</v>
      </c>
      <c r="DA9">
        <f t="shared" si="553"/>
        <v>1.2</v>
      </c>
      <c r="DB9">
        <f t="shared" si="553"/>
        <v>1.2</v>
      </c>
      <c r="DC9">
        <f t="shared" si="553"/>
        <v>1.2</v>
      </c>
      <c r="DD9">
        <f t="shared" si="553"/>
        <v>1.2</v>
      </c>
      <c r="DE9">
        <f t="shared" si="553"/>
        <v>1.2</v>
      </c>
      <c r="DF9">
        <f t="shared" si="553"/>
        <v>1.2</v>
      </c>
      <c r="DG9">
        <f t="shared" si="553"/>
        <v>1.4</v>
      </c>
      <c r="DH9">
        <f t="shared" si="553"/>
        <v>1.4</v>
      </c>
      <c r="DI9">
        <f t="shared" si="553"/>
        <v>1.4</v>
      </c>
      <c r="DJ9">
        <f t="shared" si="553"/>
        <v>1.4</v>
      </c>
      <c r="DK9">
        <f t="shared" si="553"/>
        <v>1.4</v>
      </c>
      <c r="DL9">
        <f t="shared" si="553"/>
        <v>1.4</v>
      </c>
      <c r="DM9">
        <f t="shared" si="553"/>
        <v>1.4</v>
      </c>
      <c r="DN9">
        <f t="shared" si="553"/>
        <v>1.4</v>
      </c>
      <c r="DO9">
        <f t="shared" si="553"/>
        <v>1.4</v>
      </c>
      <c r="DP9">
        <f t="shared" si="553"/>
        <v>1.4</v>
      </c>
      <c r="DQ9">
        <f t="shared" si="553"/>
        <v>1.6</v>
      </c>
      <c r="DR9">
        <f t="shared" si="553"/>
        <v>1.6</v>
      </c>
      <c r="DS9">
        <f t="shared" si="553"/>
        <v>1.6</v>
      </c>
      <c r="DT9">
        <f t="shared" si="553"/>
        <v>1.6</v>
      </c>
      <c r="DU9">
        <f t="shared" si="553"/>
        <v>1.6</v>
      </c>
      <c r="DV9">
        <f t="shared" si="553"/>
        <v>1.6</v>
      </c>
      <c r="DW9">
        <f t="shared" si="553"/>
        <v>1.6</v>
      </c>
      <c r="DX9">
        <f t="shared" si="553"/>
        <v>1.6</v>
      </c>
      <c r="DY9">
        <f t="shared" si="553"/>
        <v>1.6</v>
      </c>
      <c r="DZ9">
        <f t="shared" ref="DZ9:GK9" si="554">DZ2/10</f>
        <v>1.6</v>
      </c>
      <c r="EA9">
        <f t="shared" si="554"/>
        <v>1.8</v>
      </c>
      <c r="EB9">
        <f t="shared" si="554"/>
        <v>1.8</v>
      </c>
      <c r="EC9">
        <f t="shared" si="554"/>
        <v>1.8</v>
      </c>
      <c r="ED9">
        <f t="shared" si="554"/>
        <v>1.8</v>
      </c>
      <c r="EE9">
        <f t="shared" si="554"/>
        <v>1.8</v>
      </c>
      <c r="EF9">
        <f t="shared" si="554"/>
        <v>1.8</v>
      </c>
      <c r="EG9">
        <f t="shared" si="554"/>
        <v>1.8</v>
      </c>
      <c r="EH9">
        <f t="shared" si="554"/>
        <v>1.8</v>
      </c>
      <c r="EI9">
        <f t="shared" si="554"/>
        <v>1.8</v>
      </c>
      <c r="EJ9">
        <f t="shared" si="554"/>
        <v>1.8</v>
      </c>
      <c r="EK9">
        <f t="shared" si="554"/>
        <v>2</v>
      </c>
      <c r="EL9">
        <f t="shared" si="554"/>
        <v>2</v>
      </c>
      <c r="EM9">
        <f t="shared" si="554"/>
        <v>2</v>
      </c>
      <c r="EN9">
        <f t="shared" si="554"/>
        <v>2</v>
      </c>
      <c r="EO9">
        <f t="shared" si="554"/>
        <v>2</v>
      </c>
      <c r="EP9">
        <f t="shared" si="554"/>
        <v>2</v>
      </c>
      <c r="EQ9">
        <f t="shared" si="554"/>
        <v>2</v>
      </c>
      <c r="ER9">
        <f t="shared" si="554"/>
        <v>2</v>
      </c>
      <c r="ES9">
        <f t="shared" si="554"/>
        <v>2</v>
      </c>
      <c r="ET9">
        <f t="shared" si="554"/>
        <v>2</v>
      </c>
      <c r="EU9">
        <f t="shared" si="554"/>
        <v>2.2000000000000002</v>
      </c>
      <c r="EV9">
        <f t="shared" si="554"/>
        <v>2.2000000000000002</v>
      </c>
      <c r="EW9">
        <f t="shared" si="554"/>
        <v>2.2000000000000002</v>
      </c>
      <c r="EX9">
        <f t="shared" si="554"/>
        <v>2.2000000000000002</v>
      </c>
      <c r="EY9">
        <f t="shared" si="554"/>
        <v>2.2000000000000002</v>
      </c>
      <c r="EZ9">
        <f t="shared" si="554"/>
        <v>2.2000000000000002</v>
      </c>
      <c r="FA9">
        <f t="shared" si="554"/>
        <v>2.2000000000000002</v>
      </c>
      <c r="FB9">
        <f t="shared" si="554"/>
        <v>2.2000000000000002</v>
      </c>
      <c r="FC9">
        <f t="shared" si="554"/>
        <v>2.2000000000000002</v>
      </c>
      <c r="FD9">
        <f t="shared" si="554"/>
        <v>2.2000000000000002</v>
      </c>
      <c r="FE9">
        <f t="shared" si="554"/>
        <v>2.4</v>
      </c>
      <c r="FF9">
        <f t="shared" si="554"/>
        <v>2.4</v>
      </c>
      <c r="FG9">
        <f t="shared" si="554"/>
        <v>2.4</v>
      </c>
      <c r="FH9">
        <f t="shared" si="554"/>
        <v>2.4</v>
      </c>
      <c r="FI9">
        <f t="shared" si="554"/>
        <v>2.4</v>
      </c>
      <c r="FJ9">
        <f t="shared" si="554"/>
        <v>2.4</v>
      </c>
      <c r="FK9">
        <f t="shared" si="554"/>
        <v>2.4</v>
      </c>
      <c r="FL9">
        <f t="shared" si="554"/>
        <v>2.4</v>
      </c>
      <c r="FM9">
        <f t="shared" si="554"/>
        <v>2.4</v>
      </c>
      <c r="FN9">
        <f t="shared" si="554"/>
        <v>2.4</v>
      </c>
      <c r="FO9">
        <f t="shared" si="554"/>
        <v>2.6</v>
      </c>
      <c r="FP9">
        <f t="shared" si="554"/>
        <v>2.6</v>
      </c>
      <c r="FQ9">
        <f t="shared" si="554"/>
        <v>2.6</v>
      </c>
      <c r="FR9">
        <f t="shared" si="554"/>
        <v>2.6</v>
      </c>
      <c r="FS9">
        <f t="shared" si="554"/>
        <v>2.6</v>
      </c>
      <c r="FT9">
        <f t="shared" si="554"/>
        <v>2.6</v>
      </c>
      <c r="FU9">
        <f t="shared" si="554"/>
        <v>2.6</v>
      </c>
      <c r="FV9">
        <f t="shared" si="554"/>
        <v>2.6</v>
      </c>
      <c r="FW9">
        <f t="shared" si="554"/>
        <v>2.6</v>
      </c>
      <c r="FX9">
        <f t="shared" si="554"/>
        <v>2.6</v>
      </c>
      <c r="FY9">
        <f t="shared" si="554"/>
        <v>2.8</v>
      </c>
      <c r="FZ9">
        <f t="shared" si="554"/>
        <v>2.8</v>
      </c>
      <c r="GA9">
        <f t="shared" si="554"/>
        <v>2.8</v>
      </c>
      <c r="GB9">
        <f t="shared" si="554"/>
        <v>2.8</v>
      </c>
      <c r="GC9">
        <f t="shared" si="554"/>
        <v>2.8</v>
      </c>
      <c r="GD9">
        <f t="shared" si="554"/>
        <v>2.8</v>
      </c>
      <c r="GE9">
        <f t="shared" si="554"/>
        <v>2.8</v>
      </c>
      <c r="GF9">
        <f t="shared" si="554"/>
        <v>2.8</v>
      </c>
      <c r="GG9">
        <f t="shared" si="554"/>
        <v>2.8</v>
      </c>
      <c r="GH9">
        <f t="shared" si="554"/>
        <v>2.8</v>
      </c>
      <c r="GI9">
        <f t="shared" si="554"/>
        <v>3</v>
      </c>
      <c r="GJ9">
        <f t="shared" si="554"/>
        <v>3</v>
      </c>
      <c r="GK9">
        <f t="shared" si="554"/>
        <v>3</v>
      </c>
      <c r="GL9">
        <f t="shared" ref="GL9:IW9" si="555">GL2/10</f>
        <v>3</v>
      </c>
      <c r="GM9">
        <f t="shared" si="555"/>
        <v>3</v>
      </c>
      <c r="GN9">
        <f t="shared" si="555"/>
        <v>3</v>
      </c>
      <c r="GO9">
        <f t="shared" si="555"/>
        <v>3</v>
      </c>
      <c r="GP9">
        <f t="shared" si="555"/>
        <v>3</v>
      </c>
      <c r="GQ9">
        <f t="shared" si="555"/>
        <v>3</v>
      </c>
      <c r="GR9">
        <f t="shared" si="555"/>
        <v>3</v>
      </c>
      <c r="GS9">
        <f t="shared" si="555"/>
        <v>3.2</v>
      </c>
      <c r="GT9">
        <f t="shared" si="555"/>
        <v>3.2</v>
      </c>
      <c r="GU9">
        <f t="shared" si="555"/>
        <v>3.2</v>
      </c>
      <c r="GV9">
        <f t="shared" si="555"/>
        <v>3.2</v>
      </c>
      <c r="GW9">
        <f t="shared" si="555"/>
        <v>3.2</v>
      </c>
      <c r="GX9">
        <f t="shared" si="555"/>
        <v>3.2</v>
      </c>
      <c r="GY9">
        <f t="shared" si="555"/>
        <v>3.2</v>
      </c>
      <c r="GZ9">
        <f t="shared" si="555"/>
        <v>3.2</v>
      </c>
      <c r="HA9">
        <f t="shared" si="555"/>
        <v>3.2</v>
      </c>
      <c r="HB9">
        <f t="shared" si="555"/>
        <v>3.2</v>
      </c>
      <c r="HC9">
        <f t="shared" si="555"/>
        <v>3.4</v>
      </c>
      <c r="HD9">
        <f t="shared" si="555"/>
        <v>3.4</v>
      </c>
      <c r="HE9">
        <f t="shared" si="555"/>
        <v>3.4</v>
      </c>
      <c r="HF9">
        <f t="shared" si="555"/>
        <v>3.4</v>
      </c>
      <c r="HG9">
        <f t="shared" si="555"/>
        <v>3.4</v>
      </c>
      <c r="HH9">
        <f t="shared" si="555"/>
        <v>3.4</v>
      </c>
      <c r="HI9">
        <f t="shared" si="555"/>
        <v>3.4</v>
      </c>
      <c r="HJ9">
        <f t="shared" si="555"/>
        <v>3.4</v>
      </c>
      <c r="HK9">
        <f t="shared" si="555"/>
        <v>3.4</v>
      </c>
      <c r="HL9">
        <f t="shared" si="555"/>
        <v>3.4</v>
      </c>
      <c r="HM9">
        <f t="shared" si="555"/>
        <v>3.6</v>
      </c>
      <c r="HN9">
        <f t="shared" si="555"/>
        <v>3.6</v>
      </c>
      <c r="HO9">
        <f t="shared" si="555"/>
        <v>3.6</v>
      </c>
      <c r="HP9">
        <f t="shared" si="555"/>
        <v>3.6</v>
      </c>
      <c r="HQ9">
        <f t="shared" si="555"/>
        <v>3.6</v>
      </c>
      <c r="HR9">
        <f t="shared" si="555"/>
        <v>3.6</v>
      </c>
      <c r="HS9">
        <f t="shared" si="555"/>
        <v>3.6</v>
      </c>
      <c r="HT9">
        <f t="shared" si="555"/>
        <v>3.6</v>
      </c>
      <c r="HU9">
        <f t="shared" si="555"/>
        <v>3.6</v>
      </c>
      <c r="HV9">
        <f t="shared" si="555"/>
        <v>3.6</v>
      </c>
      <c r="HW9">
        <f t="shared" si="555"/>
        <v>3.8</v>
      </c>
      <c r="HX9">
        <f t="shared" si="555"/>
        <v>3.8</v>
      </c>
      <c r="HY9">
        <f t="shared" si="555"/>
        <v>3.8</v>
      </c>
      <c r="HZ9">
        <f t="shared" si="555"/>
        <v>3.8</v>
      </c>
      <c r="IA9">
        <f t="shared" si="555"/>
        <v>3.8</v>
      </c>
      <c r="IB9">
        <f t="shared" si="555"/>
        <v>3.8</v>
      </c>
      <c r="IC9">
        <f t="shared" si="555"/>
        <v>3.8</v>
      </c>
      <c r="ID9">
        <f t="shared" si="555"/>
        <v>3.8</v>
      </c>
      <c r="IE9">
        <f t="shared" si="555"/>
        <v>3.8</v>
      </c>
      <c r="IF9">
        <f t="shared" si="555"/>
        <v>3.8</v>
      </c>
      <c r="IG9">
        <f t="shared" si="555"/>
        <v>4</v>
      </c>
      <c r="IH9">
        <f t="shared" si="555"/>
        <v>4</v>
      </c>
      <c r="II9">
        <f t="shared" si="555"/>
        <v>4</v>
      </c>
      <c r="IJ9">
        <f t="shared" si="555"/>
        <v>4</v>
      </c>
      <c r="IK9">
        <f t="shared" si="555"/>
        <v>4</v>
      </c>
      <c r="IL9">
        <f t="shared" si="555"/>
        <v>4</v>
      </c>
      <c r="IM9">
        <f t="shared" si="555"/>
        <v>4</v>
      </c>
      <c r="IN9">
        <f t="shared" si="555"/>
        <v>4</v>
      </c>
      <c r="IO9">
        <f t="shared" si="555"/>
        <v>4</v>
      </c>
      <c r="IP9">
        <f t="shared" si="555"/>
        <v>4</v>
      </c>
      <c r="IQ9">
        <f t="shared" si="555"/>
        <v>4.2</v>
      </c>
      <c r="IR9">
        <f t="shared" si="555"/>
        <v>4.2</v>
      </c>
      <c r="IS9">
        <f t="shared" si="555"/>
        <v>4.2</v>
      </c>
      <c r="IT9">
        <f t="shared" si="555"/>
        <v>4.2</v>
      </c>
      <c r="IU9">
        <f t="shared" si="555"/>
        <v>4.2</v>
      </c>
      <c r="IV9">
        <f t="shared" si="555"/>
        <v>4.2</v>
      </c>
      <c r="IW9">
        <f t="shared" si="555"/>
        <v>4.2</v>
      </c>
      <c r="IX9">
        <f t="shared" ref="IX9:LI9" si="556">IX2/10</f>
        <v>4.2</v>
      </c>
      <c r="IY9">
        <f t="shared" si="556"/>
        <v>4.2</v>
      </c>
      <c r="IZ9">
        <f t="shared" si="556"/>
        <v>4.2</v>
      </c>
      <c r="JA9">
        <f t="shared" si="556"/>
        <v>4.4000000000000004</v>
      </c>
      <c r="JB9">
        <f t="shared" si="556"/>
        <v>4.4000000000000004</v>
      </c>
      <c r="JC9">
        <f t="shared" si="556"/>
        <v>4.4000000000000004</v>
      </c>
      <c r="JD9">
        <f t="shared" si="556"/>
        <v>4.4000000000000004</v>
      </c>
      <c r="JE9">
        <f t="shared" si="556"/>
        <v>4.4000000000000004</v>
      </c>
      <c r="JF9">
        <f t="shared" si="556"/>
        <v>4.4000000000000004</v>
      </c>
      <c r="JG9">
        <f t="shared" si="556"/>
        <v>4.4000000000000004</v>
      </c>
      <c r="JH9">
        <f t="shared" si="556"/>
        <v>4.4000000000000004</v>
      </c>
      <c r="JI9">
        <f t="shared" si="556"/>
        <v>4.4000000000000004</v>
      </c>
      <c r="JJ9">
        <f t="shared" si="556"/>
        <v>4.4000000000000004</v>
      </c>
      <c r="JK9">
        <f t="shared" si="556"/>
        <v>4.5999999999999996</v>
      </c>
      <c r="JL9">
        <f t="shared" si="556"/>
        <v>4.5999999999999996</v>
      </c>
      <c r="JM9">
        <f t="shared" si="556"/>
        <v>4.5999999999999996</v>
      </c>
      <c r="JN9">
        <f t="shared" si="556"/>
        <v>4.5999999999999996</v>
      </c>
      <c r="JO9">
        <f t="shared" si="556"/>
        <v>4.5999999999999996</v>
      </c>
      <c r="JP9">
        <f t="shared" si="556"/>
        <v>4.5999999999999996</v>
      </c>
      <c r="JQ9">
        <f t="shared" si="556"/>
        <v>4.5999999999999996</v>
      </c>
      <c r="JR9">
        <f t="shared" si="556"/>
        <v>4.5999999999999996</v>
      </c>
      <c r="JS9">
        <f t="shared" si="556"/>
        <v>4.5999999999999996</v>
      </c>
      <c r="JT9">
        <f t="shared" si="556"/>
        <v>4.5999999999999996</v>
      </c>
      <c r="JU9">
        <f t="shared" si="556"/>
        <v>4.8</v>
      </c>
      <c r="JV9">
        <f t="shared" si="556"/>
        <v>4.8</v>
      </c>
      <c r="JW9">
        <f t="shared" si="556"/>
        <v>4.8</v>
      </c>
      <c r="JX9">
        <f t="shared" si="556"/>
        <v>4.8</v>
      </c>
      <c r="JY9">
        <f t="shared" si="556"/>
        <v>4.8</v>
      </c>
      <c r="JZ9">
        <f t="shared" si="556"/>
        <v>4.8</v>
      </c>
      <c r="KA9">
        <f t="shared" si="556"/>
        <v>4.8</v>
      </c>
      <c r="KB9">
        <f t="shared" si="556"/>
        <v>4.8</v>
      </c>
      <c r="KC9">
        <f t="shared" si="556"/>
        <v>4.8</v>
      </c>
      <c r="KD9">
        <f t="shared" si="556"/>
        <v>4.8</v>
      </c>
      <c r="KE9">
        <f t="shared" si="556"/>
        <v>5</v>
      </c>
      <c r="KF9">
        <f t="shared" si="556"/>
        <v>5</v>
      </c>
      <c r="KG9">
        <f t="shared" si="556"/>
        <v>5</v>
      </c>
      <c r="KH9">
        <f t="shared" si="556"/>
        <v>5</v>
      </c>
      <c r="KI9">
        <f t="shared" si="556"/>
        <v>5</v>
      </c>
      <c r="KJ9">
        <f t="shared" si="556"/>
        <v>5</v>
      </c>
      <c r="KK9">
        <f t="shared" si="556"/>
        <v>5</v>
      </c>
      <c r="KL9">
        <f t="shared" si="556"/>
        <v>5</v>
      </c>
      <c r="KM9">
        <f t="shared" si="556"/>
        <v>5</v>
      </c>
      <c r="KN9">
        <f t="shared" si="556"/>
        <v>5</v>
      </c>
      <c r="KO9">
        <f t="shared" si="556"/>
        <v>5.2</v>
      </c>
      <c r="KP9">
        <f t="shared" si="556"/>
        <v>5.2</v>
      </c>
      <c r="KQ9">
        <f t="shared" si="556"/>
        <v>5.2</v>
      </c>
      <c r="KR9">
        <f t="shared" si="556"/>
        <v>5.2</v>
      </c>
      <c r="KS9">
        <f t="shared" si="556"/>
        <v>5.2</v>
      </c>
      <c r="KT9">
        <f t="shared" si="556"/>
        <v>5.2</v>
      </c>
      <c r="KU9">
        <f t="shared" si="556"/>
        <v>5.2</v>
      </c>
      <c r="KV9">
        <f t="shared" si="556"/>
        <v>5.2</v>
      </c>
      <c r="KW9">
        <f t="shared" si="556"/>
        <v>5.2</v>
      </c>
      <c r="KX9">
        <f t="shared" si="556"/>
        <v>5.2</v>
      </c>
      <c r="KY9">
        <f t="shared" si="556"/>
        <v>5.4</v>
      </c>
      <c r="KZ9">
        <f t="shared" si="556"/>
        <v>5.4</v>
      </c>
      <c r="LA9">
        <f t="shared" si="556"/>
        <v>5.4</v>
      </c>
      <c r="LB9">
        <f t="shared" si="556"/>
        <v>5.4</v>
      </c>
      <c r="LC9">
        <f t="shared" si="556"/>
        <v>5.4</v>
      </c>
      <c r="LD9">
        <f t="shared" si="556"/>
        <v>5.4</v>
      </c>
      <c r="LE9">
        <f t="shared" si="556"/>
        <v>5.4</v>
      </c>
      <c r="LF9">
        <f t="shared" si="556"/>
        <v>5.4</v>
      </c>
      <c r="LG9">
        <f t="shared" si="556"/>
        <v>5.4</v>
      </c>
      <c r="LH9">
        <f t="shared" si="556"/>
        <v>5.4</v>
      </c>
      <c r="LI9">
        <f t="shared" si="556"/>
        <v>5.6</v>
      </c>
      <c r="LJ9">
        <f t="shared" ref="LJ9:NU9" si="557">LJ2/10</f>
        <v>5.6</v>
      </c>
      <c r="LK9">
        <f t="shared" si="557"/>
        <v>5.6</v>
      </c>
      <c r="LL9">
        <f t="shared" si="557"/>
        <v>5.6</v>
      </c>
      <c r="LM9">
        <f t="shared" si="557"/>
        <v>5.6</v>
      </c>
      <c r="LN9">
        <f t="shared" si="557"/>
        <v>5.6</v>
      </c>
      <c r="LO9">
        <f t="shared" si="557"/>
        <v>5.6</v>
      </c>
      <c r="LP9">
        <f t="shared" si="557"/>
        <v>5.6</v>
      </c>
      <c r="LQ9">
        <f t="shared" si="557"/>
        <v>5.6</v>
      </c>
      <c r="LR9">
        <f t="shared" si="557"/>
        <v>5.6</v>
      </c>
      <c r="LS9">
        <f t="shared" si="557"/>
        <v>5.8</v>
      </c>
      <c r="LT9">
        <f t="shared" si="557"/>
        <v>5.8</v>
      </c>
      <c r="LU9">
        <f t="shared" si="557"/>
        <v>5.8</v>
      </c>
      <c r="LV9">
        <f t="shared" si="557"/>
        <v>5.8</v>
      </c>
      <c r="LW9">
        <f t="shared" si="557"/>
        <v>5.8</v>
      </c>
      <c r="LX9">
        <f t="shared" si="557"/>
        <v>5.8</v>
      </c>
      <c r="LY9">
        <f t="shared" si="557"/>
        <v>5.8</v>
      </c>
      <c r="LZ9">
        <f t="shared" si="557"/>
        <v>5.8</v>
      </c>
      <c r="MA9">
        <f t="shared" si="557"/>
        <v>5.8</v>
      </c>
      <c r="MB9">
        <f t="shared" si="557"/>
        <v>5.8</v>
      </c>
      <c r="MC9">
        <f t="shared" si="557"/>
        <v>6</v>
      </c>
      <c r="MD9">
        <f t="shared" si="557"/>
        <v>6</v>
      </c>
      <c r="ME9">
        <f t="shared" si="557"/>
        <v>6</v>
      </c>
      <c r="MF9">
        <f t="shared" si="557"/>
        <v>6</v>
      </c>
      <c r="MG9">
        <f t="shared" si="557"/>
        <v>6</v>
      </c>
      <c r="MH9">
        <f t="shared" si="557"/>
        <v>6</v>
      </c>
      <c r="MI9">
        <f t="shared" si="557"/>
        <v>6</v>
      </c>
      <c r="MJ9">
        <f t="shared" si="557"/>
        <v>6</v>
      </c>
      <c r="MK9">
        <f t="shared" si="557"/>
        <v>6</v>
      </c>
      <c r="ML9">
        <f t="shared" si="557"/>
        <v>6</v>
      </c>
      <c r="MM9">
        <f t="shared" si="557"/>
        <v>6.2</v>
      </c>
      <c r="MN9">
        <f t="shared" si="557"/>
        <v>6.2</v>
      </c>
      <c r="MO9">
        <f t="shared" si="557"/>
        <v>6.2</v>
      </c>
      <c r="MP9">
        <f t="shared" si="557"/>
        <v>6.2</v>
      </c>
      <c r="MQ9">
        <f t="shared" si="557"/>
        <v>6.2</v>
      </c>
      <c r="MR9">
        <f t="shared" si="557"/>
        <v>6.2</v>
      </c>
      <c r="MS9">
        <f t="shared" si="557"/>
        <v>6.2</v>
      </c>
      <c r="MT9">
        <f t="shared" si="557"/>
        <v>6.2</v>
      </c>
      <c r="MU9">
        <f t="shared" si="557"/>
        <v>6.2</v>
      </c>
      <c r="MV9">
        <f t="shared" si="557"/>
        <v>6.2</v>
      </c>
      <c r="MW9">
        <f t="shared" si="557"/>
        <v>6.4</v>
      </c>
      <c r="MX9">
        <f t="shared" si="557"/>
        <v>6.4</v>
      </c>
      <c r="MY9">
        <f t="shared" si="557"/>
        <v>6.4</v>
      </c>
      <c r="MZ9">
        <f t="shared" si="557"/>
        <v>6.4</v>
      </c>
      <c r="NA9">
        <f t="shared" si="557"/>
        <v>6.4</v>
      </c>
      <c r="NB9">
        <f t="shared" si="557"/>
        <v>6.4</v>
      </c>
      <c r="NC9">
        <f t="shared" si="557"/>
        <v>6.4</v>
      </c>
      <c r="ND9">
        <f t="shared" si="557"/>
        <v>6.4</v>
      </c>
      <c r="NE9">
        <f t="shared" si="557"/>
        <v>6.4</v>
      </c>
      <c r="NF9">
        <f t="shared" si="557"/>
        <v>6.4</v>
      </c>
      <c r="NG9">
        <f t="shared" si="557"/>
        <v>6.6</v>
      </c>
      <c r="NH9">
        <f t="shared" si="557"/>
        <v>6.6</v>
      </c>
      <c r="NI9">
        <f t="shared" si="557"/>
        <v>6.6</v>
      </c>
      <c r="NJ9">
        <f t="shared" si="557"/>
        <v>6.6</v>
      </c>
      <c r="NK9">
        <f t="shared" si="557"/>
        <v>6.6</v>
      </c>
      <c r="NL9">
        <f t="shared" si="557"/>
        <v>6.6</v>
      </c>
      <c r="NM9">
        <f t="shared" si="557"/>
        <v>6.6</v>
      </c>
      <c r="NN9">
        <f t="shared" si="557"/>
        <v>6.6</v>
      </c>
      <c r="NO9">
        <f t="shared" si="557"/>
        <v>6.6</v>
      </c>
      <c r="NP9">
        <f t="shared" si="557"/>
        <v>6.6</v>
      </c>
      <c r="NQ9">
        <f t="shared" si="557"/>
        <v>6.8</v>
      </c>
      <c r="NR9">
        <f t="shared" si="557"/>
        <v>6.8</v>
      </c>
      <c r="NS9">
        <f t="shared" si="557"/>
        <v>6.8</v>
      </c>
      <c r="NT9">
        <f t="shared" si="557"/>
        <v>6.8</v>
      </c>
      <c r="NU9">
        <f t="shared" si="557"/>
        <v>6.8</v>
      </c>
      <c r="NV9">
        <f t="shared" ref="NV9:QG9" si="558">NV2/10</f>
        <v>6.8</v>
      </c>
      <c r="NW9">
        <f t="shared" si="558"/>
        <v>6.8</v>
      </c>
      <c r="NX9">
        <f t="shared" si="558"/>
        <v>6.8</v>
      </c>
      <c r="NY9">
        <f t="shared" si="558"/>
        <v>6.8</v>
      </c>
      <c r="NZ9">
        <f t="shared" si="558"/>
        <v>6.8</v>
      </c>
      <c r="OA9">
        <f t="shared" si="558"/>
        <v>7</v>
      </c>
      <c r="OB9">
        <f t="shared" si="558"/>
        <v>7</v>
      </c>
      <c r="OC9">
        <f t="shared" si="558"/>
        <v>7</v>
      </c>
      <c r="OD9">
        <f t="shared" si="558"/>
        <v>7</v>
      </c>
      <c r="OE9">
        <f t="shared" si="558"/>
        <v>7</v>
      </c>
      <c r="OF9">
        <f t="shared" si="558"/>
        <v>7</v>
      </c>
      <c r="OG9">
        <f t="shared" si="558"/>
        <v>7</v>
      </c>
      <c r="OH9">
        <f t="shared" si="558"/>
        <v>7</v>
      </c>
      <c r="OI9">
        <f t="shared" si="558"/>
        <v>7</v>
      </c>
      <c r="OJ9">
        <f t="shared" si="558"/>
        <v>7</v>
      </c>
      <c r="OK9">
        <f t="shared" si="558"/>
        <v>7.2</v>
      </c>
      <c r="OL9">
        <f t="shared" si="558"/>
        <v>7.2</v>
      </c>
      <c r="OM9">
        <f t="shared" si="558"/>
        <v>7.2</v>
      </c>
      <c r="ON9">
        <f t="shared" si="558"/>
        <v>7.2</v>
      </c>
      <c r="OO9">
        <f t="shared" si="558"/>
        <v>7.2</v>
      </c>
      <c r="OP9">
        <f t="shared" si="558"/>
        <v>7.2</v>
      </c>
      <c r="OQ9">
        <f t="shared" si="558"/>
        <v>7.2</v>
      </c>
      <c r="OR9">
        <f t="shared" si="558"/>
        <v>7.2</v>
      </c>
      <c r="OS9">
        <f t="shared" si="558"/>
        <v>7.2</v>
      </c>
      <c r="OT9">
        <f t="shared" si="558"/>
        <v>7.2</v>
      </c>
      <c r="OU9">
        <f t="shared" si="558"/>
        <v>7.4</v>
      </c>
      <c r="OV9">
        <f t="shared" si="558"/>
        <v>7.4</v>
      </c>
      <c r="OW9">
        <f t="shared" si="558"/>
        <v>7.4</v>
      </c>
      <c r="OX9">
        <f t="shared" si="558"/>
        <v>7.4</v>
      </c>
      <c r="OY9">
        <f t="shared" si="558"/>
        <v>7.4</v>
      </c>
      <c r="OZ9">
        <f t="shared" si="558"/>
        <v>7.4</v>
      </c>
      <c r="PA9">
        <f t="shared" si="558"/>
        <v>7.4</v>
      </c>
      <c r="PB9">
        <f t="shared" si="558"/>
        <v>7.4</v>
      </c>
      <c r="PC9">
        <f t="shared" si="558"/>
        <v>7.4</v>
      </c>
      <c r="PD9">
        <f t="shared" si="558"/>
        <v>7.4</v>
      </c>
      <c r="PE9">
        <f t="shared" si="558"/>
        <v>7.6</v>
      </c>
      <c r="PF9">
        <f t="shared" si="558"/>
        <v>7.6</v>
      </c>
      <c r="PG9">
        <f t="shared" si="558"/>
        <v>7.6</v>
      </c>
      <c r="PH9">
        <f t="shared" si="558"/>
        <v>7.6</v>
      </c>
      <c r="PI9">
        <f t="shared" si="558"/>
        <v>7.6</v>
      </c>
      <c r="PJ9">
        <f t="shared" si="558"/>
        <v>7.6</v>
      </c>
      <c r="PK9">
        <f t="shared" si="558"/>
        <v>7.6</v>
      </c>
      <c r="PL9">
        <f t="shared" si="558"/>
        <v>7.6</v>
      </c>
      <c r="PM9">
        <f t="shared" si="558"/>
        <v>7.6</v>
      </c>
      <c r="PN9">
        <f t="shared" si="558"/>
        <v>7.6</v>
      </c>
      <c r="PO9">
        <f t="shared" si="558"/>
        <v>7.8</v>
      </c>
      <c r="PP9">
        <f t="shared" si="558"/>
        <v>7.8</v>
      </c>
      <c r="PQ9">
        <f t="shared" si="558"/>
        <v>7.8</v>
      </c>
      <c r="PR9">
        <f t="shared" si="558"/>
        <v>7.8</v>
      </c>
      <c r="PS9">
        <f t="shared" si="558"/>
        <v>7.8</v>
      </c>
      <c r="PT9">
        <f t="shared" si="558"/>
        <v>7.8</v>
      </c>
      <c r="PU9">
        <f t="shared" si="558"/>
        <v>7.8</v>
      </c>
      <c r="PV9">
        <f t="shared" si="558"/>
        <v>7.8</v>
      </c>
      <c r="PW9">
        <f t="shared" si="558"/>
        <v>7.8</v>
      </c>
      <c r="PX9">
        <f t="shared" si="558"/>
        <v>7.8</v>
      </c>
      <c r="PY9">
        <f t="shared" si="558"/>
        <v>8</v>
      </c>
      <c r="PZ9">
        <f t="shared" si="558"/>
        <v>8</v>
      </c>
      <c r="QA9">
        <f t="shared" si="558"/>
        <v>8</v>
      </c>
      <c r="QB9">
        <f t="shared" si="558"/>
        <v>8</v>
      </c>
      <c r="QC9">
        <f t="shared" si="558"/>
        <v>8</v>
      </c>
      <c r="QD9">
        <f t="shared" si="558"/>
        <v>8</v>
      </c>
      <c r="QE9">
        <f t="shared" si="558"/>
        <v>8</v>
      </c>
      <c r="QF9">
        <f t="shared" si="558"/>
        <v>8</v>
      </c>
      <c r="QG9">
        <f t="shared" si="558"/>
        <v>8</v>
      </c>
      <c r="QH9">
        <f t="shared" ref="QH9:SS9" si="559">QH2/10</f>
        <v>8</v>
      </c>
      <c r="QI9">
        <f t="shared" si="559"/>
        <v>8.1999999999999993</v>
      </c>
      <c r="QJ9">
        <f t="shared" si="559"/>
        <v>8.1999999999999993</v>
      </c>
      <c r="QK9">
        <f t="shared" si="559"/>
        <v>8.1999999999999993</v>
      </c>
      <c r="QL9">
        <f t="shared" si="559"/>
        <v>8.1999999999999993</v>
      </c>
      <c r="QM9">
        <f t="shared" si="559"/>
        <v>8.1999999999999993</v>
      </c>
      <c r="QN9">
        <f t="shared" si="559"/>
        <v>8.1999999999999993</v>
      </c>
      <c r="QO9">
        <f t="shared" si="559"/>
        <v>8.1999999999999993</v>
      </c>
      <c r="QP9">
        <f t="shared" si="559"/>
        <v>8.1999999999999993</v>
      </c>
      <c r="QQ9">
        <f t="shared" si="559"/>
        <v>8.1999999999999993</v>
      </c>
      <c r="QR9">
        <f t="shared" si="559"/>
        <v>8.1999999999999993</v>
      </c>
      <c r="QS9">
        <f t="shared" si="559"/>
        <v>8.4</v>
      </c>
      <c r="QT9">
        <f t="shared" si="559"/>
        <v>8.4</v>
      </c>
      <c r="QU9">
        <f t="shared" si="559"/>
        <v>8.4</v>
      </c>
      <c r="QV9">
        <f t="shared" si="559"/>
        <v>8.4</v>
      </c>
      <c r="QW9">
        <f t="shared" si="559"/>
        <v>8.4</v>
      </c>
      <c r="QX9">
        <f t="shared" si="559"/>
        <v>8.4</v>
      </c>
      <c r="QY9">
        <f t="shared" si="559"/>
        <v>8.4</v>
      </c>
      <c r="QZ9">
        <f t="shared" si="559"/>
        <v>8.4</v>
      </c>
      <c r="RA9">
        <f t="shared" si="559"/>
        <v>8.4</v>
      </c>
      <c r="RB9">
        <f t="shared" si="559"/>
        <v>8.4</v>
      </c>
      <c r="RC9">
        <f t="shared" si="559"/>
        <v>8.6</v>
      </c>
      <c r="RD9">
        <f t="shared" si="559"/>
        <v>8.6</v>
      </c>
      <c r="RE9">
        <f t="shared" si="559"/>
        <v>8.6</v>
      </c>
      <c r="RF9">
        <f t="shared" si="559"/>
        <v>8.6</v>
      </c>
      <c r="RG9">
        <f t="shared" si="559"/>
        <v>8.6</v>
      </c>
      <c r="RH9">
        <f t="shared" si="559"/>
        <v>8.6</v>
      </c>
      <c r="RI9">
        <f t="shared" si="559"/>
        <v>8.6</v>
      </c>
      <c r="RJ9">
        <f t="shared" si="559"/>
        <v>8.6</v>
      </c>
      <c r="RK9">
        <f t="shared" si="559"/>
        <v>8.6</v>
      </c>
      <c r="RL9">
        <f t="shared" si="559"/>
        <v>8.6</v>
      </c>
      <c r="RM9">
        <f t="shared" si="559"/>
        <v>8.8000000000000007</v>
      </c>
      <c r="RN9">
        <f t="shared" si="559"/>
        <v>8.8000000000000007</v>
      </c>
      <c r="RO9">
        <f t="shared" si="559"/>
        <v>8.8000000000000007</v>
      </c>
      <c r="RP9">
        <f t="shared" si="559"/>
        <v>8.8000000000000007</v>
      </c>
      <c r="RQ9">
        <f t="shared" si="559"/>
        <v>8.8000000000000007</v>
      </c>
      <c r="RR9">
        <f t="shared" si="559"/>
        <v>8.8000000000000007</v>
      </c>
      <c r="RS9">
        <f t="shared" si="559"/>
        <v>8.8000000000000007</v>
      </c>
      <c r="RT9">
        <f t="shared" si="559"/>
        <v>8.8000000000000007</v>
      </c>
      <c r="RU9">
        <f t="shared" si="559"/>
        <v>8.8000000000000007</v>
      </c>
      <c r="RV9">
        <f t="shared" si="559"/>
        <v>8.8000000000000007</v>
      </c>
      <c r="RW9">
        <f t="shared" si="559"/>
        <v>9</v>
      </c>
      <c r="RX9">
        <f t="shared" si="559"/>
        <v>9</v>
      </c>
      <c r="RY9">
        <f t="shared" si="559"/>
        <v>9</v>
      </c>
      <c r="RZ9">
        <f t="shared" si="559"/>
        <v>9</v>
      </c>
      <c r="SA9">
        <f t="shared" si="559"/>
        <v>9</v>
      </c>
      <c r="SB9">
        <f t="shared" si="559"/>
        <v>9</v>
      </c>
      <c r="SC9">
        <f t="shared" si="559"/>
        <v>9</v>
      </c>
      <c r="SD9">
        <f t="shared" si="559"/>
        <v>9</v>
      </c>
      <c r="SE9">
        <f t="shared" si="559"/>
        <v>9</v>
      </c>
      <c r="SF9">
        <f t="shared" si="559"/>
        <v>9</v>
      </c>
      <c r="SG9">
        <f t="shared" si="559"/>
        <v>9.1999999999999993</v>
      </c>
      <c r="SH9">
        <f t="shared" si="559"/>
        <v>9.1999999999999993</v>
      </c>
      <c r="SI9">
        <f t="shared" si="559"/>
        <v>9.1999999999999993</v>
      </c>
      <c r="SJ9">
        <f t="shared" si="559"/>
        <v>9.1999999999999993</v>
      </c>
      <c r="SK9">
        <f t="shared" si="559"/>
        <v>9.1999999999999993</v>
      </c>
      <c r="SL9">
        <f t="shared" si="559"/>
        <v>9.1999999999999993</v>
      </c>
      <c r="SM9">
        <f t="shared" si="559"/>
        <v>9.1999999999999993</v>
      </c>
      <c r="SN9">
        <f t="shared" si="559"/>
        <v>9.1999999999999993</v>
      </c>
      <c r="SO9">
        <f t="shared" si="559"/>
        <v>9.1999999999999993</v>
      </c>
      <c r="SP9">
        <f t="shared" si="559"/>
        <v>9.1999999999999993</v>
      </c>
      <c r="SQ9">
        <f t="shared" si="559"/>
        <v>9.4</v>
      </c>
      <c r="SR9">
        <f t="shared" si="559"/>
        <v>9.4</v>
      </c>
      <c r="SS9">
        <f t="shared" si="559"/>
        <v>9.4</v>
      </c>
      <c r="ST9">
        <f t="shared" ref="ST9:VE9" si="560">ST2/10</f>
        <v>9.4</v>
      </c>
      <c r="SU9">
        <f t="shared" si="560"/>
        <v>9.4</v>
      </c>
      <c r="SV9">
        <f t="shared" si="560"/>
        <v>9.4</v>
      </c>
      <c r="SW9">
        <f t="shared" si="560"/>
        <v>9.4</v>
      </c>
      <c r="SX9">
        <f t="shared" si="560"/>
        <v>9.4</v>
      </c>
      <c r="SY9">
        <f t="shared" si="560"/>
        <v>9.4</v>
      </c>
      <c r="SZ9">
        <f t="shared" si="560"/>
        <v>9.4</v>
      </c>
      <c r="TA9">
        <f t="shared" si="560"/>
        <v>9.6</v>
      </c>
      <c r="TB9">
        <f t="shared" si="560"/>
        <v>9.6</v>
      </c>
      <c r="TC9">
        <f t="shared" si="560"/>
        <v>9.6</v>
      </c>
      <c r="TD9">
        <f t="shared" si="560"/>
        <v>9.6</v>
      </c>
      <c r="TE9">
        <f t="shared" si="560"/>
        <v>9.6</v>
      </c>
      <c r="TF9">
        <f t="shared" si="560"/>
        <v>9.6</v>
      </c>
      <c r="TG9">
        <f t="shared" si="560"/>
        <v>9.6</v>
      </c>
      <c r="TH9">
        <f t="shared" si="560"/>
        <v>9.6</v>
      </c>
      <c r="TI9">
        <f t="shared" si="560"/>
        <v>9.6</v>
      </c>
      <c r="TJ9">
        <f t="shared" si="560"/>
        <v>9.6</v>
      </c>
      <c r="TK9">
        <f t="shared" si="560"/>
        <v>9.8000000000000007</v>
      </c>
      <c r="TL9">
        <f t="shared" si="560"/>
        <v>9.8000000000000007</v>
      </c>
      <c r="TM9">
        <f t="shared" si="560"/>
        <v>9.8000000000000007</v>
      </c>
      <c r="TN9">
        <f t="shared" si="560"/>
        <v>9.8000000000000007</v>
      </c>
      <c r="TO9">
        <f t="shared" si="560"/>
        <v>9.8000000000000007</v>
      </c>
      <c r="TP9">
        <f t="shared" si="560"/>
        <v>9.8000000000000007</v>
      </c>
      <c r="TQ9">
        <f t="shared" si="560"/>
        <v>9.8000000000000007</v>
      </c>
      <c r="TR9">
        <f t="shared" si="560"/>
        <v>9.8000000000000007</v>
      </c>
      <c r="TS9">
        <f t="shared" si="560"/>
        <v>9.8000000000000007</v>
      </c>
      <c r="TT9">
        <f t="shared" si="560"/>
        <v>9.8000000000000007</v>
      </c>
      <c r="TU9">
        <f t="shared" si="560"/>
        <v>10</v>
      </c>
      <c r="TV9">
        <f t="shared" si="560"/>
        <v>10</v>
      </c>
      <c r="TW9">
        <f t="shared" si="560"/>
        <v>10</v>
      </c>
      <c r="TX9">
        <f t="shared" si="560"/>
        <v>10</v>
      </c>
      <c r="TY9">
        <f t="shared" si="560"/>
        <v>10</v>
      </c>
      <c r="TZ9">
        <f t="shared" si="560"/>
        <v>10</v>
      </c>
      <c r="UA9">
        <f t="shared" si="560"/>
        <v>10</v>
      </c>
      <c r="UB9">
        <f t="shared" si="560"/>
        <v>10</v>
      </c>
      <c r="UC9">
        <f t="shared" si="560"/>
        <v>10</v>
      </c>
      <c r="UD9">
        <f t="shared" si="560"/>
        <v>10</v>
      </c>
      <c r="UE9">
        <f t="shared" si="560"/>
        <v>10.199999999999999</v>
      </c>
      <c r="UF9">
        <f t="shared" si="560"/>
        <v>10.199999999999999</v>
      </c>
      <c r="UG9">
        <f t="shared" si="560"/>
        <v>10.199999999999999</v>
      </c>
      <c r="UH9">
        <f t="shared" si="560"/>
        <v>10.199999999999999</v>
      </c>
      <c r="UI9">
        <f t="shared" si="560"/>
        <v>10.199999999999999</v>
      </c>
      <c r="UJ9">
        <f t="shared" si="560"/>
        <v>10.199999999999999</v>
      </c>
      <c r="UK9">
        <f t="shared" si="560"/>
        <v>10.199999999999999</v>
      </c>
      <c r="UL9">
        <f t="shared" si="560"/>
        <v>10.199999999999999</v>
      </c>
      <c r="UM9">
        <f t="shared" si="560"/>
        <v>10.199999999999999</v>
      </c>
      <c r="UN9">
        <f t="shared" si="560"/>
        <v>10.199999999999999</v>
      </c>
      <c r="UO9">
        <f t="shared" si="560"/>
        <v>10.4</v>
      </c>
      <c r="UP9">
        <f t="shared" si="560"/>
        <v>10.4</v>
      </c>
      <c r="UQ9">
        <f t="shared" si="560"/>
        <v>10.4</v>
      </c>
      <c r="UR9">
        <f t="shared" si="560"/>
        <v>10.4</v>
      </c>
      <c r="US9">
        <f t="shared" si="560"/>
        <v>10.4</v>
      </c>
      <c r="UT9">
        <f t="shared" si="560"/>
        <v>10.4</v>
      </c>
      <c r="UU9">
        <f t="shared" si="560"/>
        <v>10.4</v>
      </c>
      <c r="UV9">
        <f t="shared" si="560"/>
        <v>10.4</v>
      </c>
      <c r="UW9">
        <f t="shared" si="560"/>
        <v>10.4</v>
      </c>
      <c r="UX9">
        <f t="shared" si="560"/>
        <v>10.4</v>
      </c>
      <c r="UY9">
        <f t="shared" si="560"/>
        <v>10.6</v>
      </c>
      <c r="UZ9">
        <f t="shared" si="560"/>
        <v>10.6</v>
      </c>
      <c r="VA9">
        <f t="shared" si="560"/>
        <v>10.6</v>
      </c>
      <c r="VB9">
        <f t="shared" si="560"/>
        <v>10.6</v>
      </c>
      <c r="VC9">
        <f t="shared" si="560"/>
        <v>10.6</v>
      </c>
      <c r="VD9">
        <f t="shared" si="560"/>
        <v>10.6</v>
      </c>
      <c r="VE9">
        <f t="shared" si="560"/>
        <v>10.6</v>
      </c>
      <c r="VF9">
        <f t="shared" ref="VF9:XQ9" si="561">VF2/10</f>
        <v>10.6</v>
      </c>
      <c r="VG9">
        <f t="shared" si="561"/>
        <v>10.6</v>
      </c>
      <c r="VH9">
        <f t="shared" si="561"/>
        <v>10.6</v>
      </c>
      <c r="VI9">
        <f t="shared" si="561"/>
        <v>10.8</v>
      </c>
      <c r="VJ9">
        <f t="shared" si="561"/>
        <v>10.8</v>
      </c>
      <c r="VK9">
        <f t="shared" si="561"/>
        <v>10.8</v>
      </c>
      <c r="VL9">
        <f t="shared" si="561"/>
        <v>10.8</v>
      </c>
      <c r="VM9">
        <f t="shared" si="561"/>
        <v>10.8</v>
      </c>
      <c r="VN9">
        <f t="shared" si="561"/>
        <v>10.8</v>
      </c>
      <c r="VO9">
        <f t="shared" si="561"/>
        <v>10.8</v>
      </c>
      <c r="VP9">
        <f t="shared" si="561"/>
        <v>10.8</v>
      </c>
      <c r="VQ9">
        <f t="shared" si="561"/>
        <v>10.8</v>
      </c>
      <c r="VR9">
        <f t="shared" si="561"/>
        <v>10.8</v>
      </c>
      <c r="VS9">
        <f t="shared" si="561"/>
        <v>11</v>
      </c>
      <c r="VT9">
        <f t="shared" si="561"/>
        <v>11</v>
      </c>
      <c r="VU9">
        <f t="shared" si="561"/>
        <v>11</v>
      </c>
      <c r="VV9">
        <f t="shared" si="561"/>
        <v>11</v>
      </c>
      <c r="VW9">
        <f t="shared" si="561"/>
        <v>11</v>
      </c>
      <c r="VX9">
        <f t="shared" si="561"/>
        <v>11</v>
      </c>
      <c r="VY9">
        <f t="shared" si="561"/>
        <v>11</v>
      </c>
      <c r="VZ9">
        <f t="shared" si="561"/>
        <v>11</v>
      </c>
      <c r="WA9">
        <f t="shared" si="561"/>
        <v>11</v>
      </c>
      <c r="WB9">
        <f t="shared" si="561"/>
        <v>11</v>
      </c>
      <c r="WC9">
        <f t="shared" si="561"/>
        <v>11.2</v>
      </c>
      <c r="WD9">
        <f t="shared" si="561"/>
        <v>11.2</v>
      </c>
      <c r="WE9">
        <f t="shared" si="561"/>
        <v>11.2</v>
      </c>
      <c r="WF9">
        <f t="shared" si="561"/>
        <v>11.2</v>
      </c>
      <c r="WG9">
        <f t="shared" si="561"/>
        <v>11.2</v>
      </c>
      <c r="WH9">
        <f t="shared" si="561"/>
        <v>11.2</v>
      </c>
      <c r="WI9">
        <f t="shared" si="561"/>
        <v>11.2</v>
      </c>
      <c r="WJ9">
        <f t="shared" si="561"/>
        <v>11.2</v>
      </c>
      <c r="WK9">
        <f t="shared" si="561"/>
        <v>11.2</v>
      </c>
      <c r="WL9">
        <f t="shared" si="561"/>
        <v>11.2</v>
      </c>
      <c r="WM9">
        <f t="shared" si="561"/>
        <v>11.4</v>
      </c>
      <c r="WN9">
        <f t="shared" si="561"/>
        <v>11.4</v>
      </c>
      <c r="WO9">
        <f t="shared" si="561"/>
        <v>11.4</v>
      </c>
      <c r="WP9">
        <f t="shared" si="561"/>
        <v>11.4</v>
      </c>
      <c r="WQ9">
        <f t="shared" si="561"/>
        <v>11.4</v>
      </c>
      <c r="WR9">
        <f t="shared" si="561"/>
        <v>11.4</v>
      </c>
      <c r="WS9">
        <f t="shared" si="561"/>
        <v>11.4</v>
      </c>
      <c r="WT9">
        <f t="shared" si="561"/>
        <v>11.4</v>
      </c>
      <c r="WU9">
        <f t="shared" si="561"/>
        <v>11.4</v>
      </c>
      <c r="WV9">
        <f t="shared" si="561"/>
        <v>11.4</v>
      </c>
      <c r="WW9">
        <f t="shared" si="561"/>
        <v>11.6</v>
      </c>
      <c r="WX9">
        <f t="shared" si="561"/>
        <v>11.6</v>
      </c>
      <c r="WY9">
        <f t="shared" si="561"/>
        <v>11.6</v>
      </c>
      <c r="WZ9">
        <f t="shared" si="561"/>
        <v>11.6</v>
      </c>
      <c r="XA9">
        <f t="shared" si="561"/>
        <v>11.6</v>
      </c>
      <c r="XB9">
        <f t="shared" si="561"/>
        <v>11.6</v>
      </c>
      <c r="XC9">
        <f t="shared" si="561"/>
        <v>11.6</v>
      </c>
      <c r="XD9">
        <f t="shared" si="561"/>
        <v>11.6</v>
      </c>
      <c r="XE9">
        <f t="shared" si="561"/>
        <v>11.6</v>
      </c>
      <c r="XF9">
        <f t="shared" si="561"/>
        <v>11.6</v>
      </c>
      <c r="XG9">
        <f t="shared" si="561"/>
        <v>11.8</v>
      </c>
      <c r="XH9">
        <f t="shared" si="561"/>
        <v>11.8</v>
      </c>
      <c r="XI9">
        <f t="shared" si="561"/>
        <v>11.8</v>
      </c>
      <c r="XJ9">
        <f t="shared" si="561"/>
        <v>11.8</v>
      </c>
      <c r="XK9">
        <f t="shared" si="561"/>
        <v>11.8</v>
      </c>
      <c r="XL9">
        <f t="shared" si="561"/>
        <v>11.8</v>
      </c>
      <c r="XM9">
        <f t="shared" si="561"/>
        <v>11.8</v>
      </c>
      <c r="XN9">
        <f t="shared" si="561"/>
        <v>11.8</v>
      </c>
      <c r="XO9">
        <f t="shared" si="561"/>
        <v>11.8</v>
      </c>
      <c r="XP9">
        <f t="shared" si="561"/>
        <v>11.8</v>
      </c>
      <c r="XQ9">
        <f t="shared" si="561"/>
        <v>12</v>
      </c>
      <c r="XR9">
        <f t="shared" ref="XR9:AAC9" si="562">XR2/10</f>
        <v>12</v>
      </c>
      <c r="XS9">
        <f t="shared" si="562"/>
        <v>12</v>
      </c>
      <c r="XT9">
        <f t="shared" si="562"/>
        <v>12</v>
      </c>
      <c r="XU9">
        <f t="shared" si="562"/>
        <v>12</v>
      </c>
      <c r="XV9">
        <f t="shared" si="562"/>
        <v>12</v>
      </c>
      <c r="XW9">
        <f t="shared" si="562"/>
        <v>12</v>
      </c>
      <c r="XX9">
        <f t="shared" si="562"/>
        <v>12</v>
      </c>
      <c r="XY9">
        <f t="shared" si="562"/>
        <v>12</v>
      </c>
      <c r="XZ9">
        <f t="shared" si="562"/>
        <v>12</v>
      </c>
      <c r="YA9">
        <f t="shared" si="562"/>
        <v>12.2</v>
      </c>
      <c r="YB9">
        <f t="shared" si="562"/>
        <v>12.2</v>
      </c>
      <c r="YC9">
        <f t="shared" si="562"/>
        <v>12.2</v>
      </c>
      <c r="YD9">
        <f t="shared" si="562"/>
        <v>12.2</v>
      </c>
      <c r="YE9">
        <f t="shared" si="562"/>
        <v>12.2</v>
      </c>
      <c r="YF9">
        <f t="shared" si="562"/>
        <v>12.2</v>
      </c>
      <c r="YG9">
        <f t="shared" si="562"/>
        <v>12.2</v>
      </c>
      <c r="YH9">
        <f t="shared" si="562"/>
        <v>12.2</v>
      </c>
      <c r="YI9">
        <f t="shared" si="562"/>
        <v>12.2</v>
      </c>
      <c r="YJ9">
        <f t="shared" si="562"/>
        <v>12.2</v>
      </c>
      <c r="YK9">
        <f t="shared" si="562"/>
        <v>12.4</v>
      </c>
      <c r="YL9">
        <f t="shared" si="562"/>
        <v>12.4</v>
      </c>
      <c r="YM9">
        <f t="shared" si="562"/>
        <v>12.4</v>
      </c>
      <c r="YN9">
        <f t="shared" si="562"/>
        <v>12.4</v>
      </c>
      <c r="YO9">
        <f t="shared" si="562"/>
        <v>12.4</v>
      </c>
      <c r="YP9">
        <f t="shared" si="562"/>
        <v>12.4</v>
      </c>
      <c r="YQ9">
        <f t="shared" si="562"/>
        <v>12.4</v>
      </c>
      <c r="YR9">
        <f t="shared" si="562"/>
        <v>12.4</v>
      </c>
      <c r="YS9">
        <f t="shared" si="562"/>
        <v>12.4</v>
      </c>
      <c r="YT9">
        <f t="shared" si="562"/>
        <v>12.4</v>
      </c>
      <c r="YU9">
        <f t="shared" si="562"/>
        <v>12.6</v>
      </c>
      <c r="YV9">
        <f t="shared" si="562"/>
        <v>12.6</v>
      </c>
      <c r="YW9">
        <f t="shared" si="562"/>
        <v>12.6</v>
      </c>
      <c r="YX9">
        <f t="shared" si="562"/>
        <v>12.6</v>
      </c>
      <c r="YY9">
        <f t="shared" si="562"/>
        <v>12.6</v>
      </c>
      <c r="YZ9">
        <f t="shared" si="562"/>
        <v>12.6</v>
      </c>
      <c r="ZA9">
        <f t="shared" si="562"/>
        <v>12.6</v>
      </c>
      <c r="ZB9">
        <f t="shared" si="562"/>
        <v>12.6</v>
      </c>
      <c r="ZC9">
        <f t="shared" si="562"/>
        <v>12.6</v>
      </c>
      <c r="ZD9">
        <f t="shared" si="562"/>
        <v>12.6</v>
      </c>
      <c r="ZE9">
        <f t="shared" si="562"/>
        <v>12.8</v>
      </c>
      <c r="ZF9">
        <f t="shared" si="562"/>
        <v>12.8</v>
      </c>
      <c r="ZG9">
        <f t="shared" si="562"/>
        <v>12.8</v>
      </c>
      <c r="ZH9">
        <f t="shared" si="562"/>
        <v>12.8</v>
      </c>
      <c r="ZI9">
        <f t="shared" si="562"/>
        <v>12.8</v>
      </c>
      <c r="ZJ9">
        <f t="shared" si="562"/>
        <v>12.8</v>
      </c>
      <c r="ZK9">
        <f t="shared" si="562"/>
        <v>12.8</v>
      </c>
      <c r="ZL9">
        <f t="shared" si="562"/>
        <v>12.8</v>
      </c>
      <c r="ZM9">
        <f t="shared" si="562"/>
        <v>12.8</v>
      </c>
      <c r="ZN9">
        <f t="shared" si="562"/>
        <v>12.8</v>
      </c>
      <c r="ZO9">
        <f t="shared" si="562"/>
        <v>13</v>
      </c>
      <c r="ZP9">
        <f t="shared" si="562"/>
        <v>13</v>
      </c>
      <c r="ZQ9">
        <f t="shared" si="562"/>
        <v>13</v>
      </c>
      <c r="ZR9">
        <f t="shared" si="562"/>
        <v>13</v>
      </c>
      <c r="ZS9">
        <f t="shared" si="562"/>
        <v>13</v>
      </c>
      <c r="ZT9">
        <f t="shared" si="562"/>
        <v>13</v>
      </c>
      <c r="ZU9">
        <f t="shared" si="562"/>
        <v>13</v>
      </c>
      <c r="ZV9">
        <f t="shared" si="562"/>
        <v>13</v>
      </c>
      <c r="ZW9">
        <f t="shared" si="562"/>
        <v>13</v>
      </c>
      <c r="ZX9">
        <f t="shared" si="562"/>
        <v>13</v>
      </c>
      <c r="ZY9">
        <f t="shared" si="562"/>
        <v>13.2</v>
      </c>
      <c r="ZZ9">
        <f t="shared" si="562"/>
        <v>13.2</v>
      </c>
      <c r="AAA9">
        <f t="shared" si="562"/>
        <v>13.2</v>
      </c>
      <c r="AAB9">
        <f t="shared" si="562"/>
        <v>13.2</v>
      </c>
      <c r="AAC9">
        <f t="shared" si="562"/>
        <v>13.2</v>
      </c>
      <c r="AAD9">
        <f t="shared" ref="AAD9:ACO9" si="563">AAD2/10</f>
        <v>13.2</v>
      </c>
      <c r="AAE9">
        <f t="shared" si="563"/>
        <v>13.2</v>
      </c>
      <c r="AAF9">
        <f t="shared" si="563"/>
        <v>13.2</v>
      </c>
      <c r="AAG9">
        <f t="shared" si="563"/>
        <v>13.2</v>
      </c>
      <c r="AAH9">
        <f t="shared" si="563"/>
        <v>13.2</v>
      </c>
      <c r="AAI9">
        <f t="shared" si="563"/>
        <v>13.4</v>
      </c>
      <c r="AAJ9">
        <f t="shared" si="563"/>
        <v>13.4</v>
      </c>
      <c r="AAK9">
        <f t="shared" si="563"/>
        <v>13.4</v>
      </c>
      <c r="AAL9">
        <f t="shared" si="563"/>
        <v>13.4</v>
      </c>
      <c r="AAM9">
        <f t="shared" si="563"/>
        <v>13.4</v>
      </c>
      <c r="AAN9">
        <f t="shared" si="563"/>
        <v>13.4</v>
      </c>
      <c r="AAO9">
        <f t="shared" si="563"/>
        <v>13.4</v>
      </c>
      <c r="AAP9">
        <f t="shared" si="563"/>
        <v>13.4</v>
      </c>
      <c r="AAQ9">
        <f t="shared" si="563"/>
        <v>13.4</v>
      </c>
      <c r="AAR9">
        <f t="shared" si="563"/>
        <v>13.4</v>
      </c>
      <c r="AAS9">
        <f t="shared" si="563"/>
        <v>13.6</v>
      </c>
      <c r="AAT9">
        <f t="shared" si="563"/>
        <v>13.6</v>
      </c>
      <c r="AAU9">
        <f t="shared" si="563"/>
        <v>13.6</v>
      </c>
      <c r="AAV9">
        <f t="shared" si="563"/>
        <v>13.6</v>
      </c>
      <c r="AAW9">
        <f t="shared" si="563"/>
        <v>13.6</v>
      </c>
      <c r="AAX9">
        <f t="shared" si="563"/>
        <v>13.6</v>
      </c>
      <c r="AAY9">
        <f t="shared" si="563"/>
        <v>13.6</v>
      </c>
      <c r="AAZ9">
        <f t="shared" si="563"/>
        <v>13.6</v>
      </c>
      <c r="ABA9">
        <f t="shared" si="563"/>
        <v>13.6</v>
      </c>
      <c r="ABB9">
        <f t="shared" si="563"/>
        <v>13.6</v>
      </c>
      <c r="ABC9">
        <f t="shared" si="563"/>
        <v>13.8</v>
      </c>
      <c r="ABD9">
        <f t="shared" si="563"/>
        <v>13.8</v>
      </c>
      <c r="ABE9">
        <f t="shared" si="563"/>
        <v>13.8</v>
      </c>
      <c r="ABF9">
        <f t="shared" si="563"/>
        <v>13.8</v>
      </c>
      <c r="ABG9">
        <f t="shared" si="563"/>
        <v>13.8</v>
      </c>
      <c r="ABH9">
        <f t="shared" si="563"/>
        <v>13.8</v>
      </c>
      <c r="ABI9">
        <f t="shared" si="563"/>
        <v>13.8</v>
      </c>
      <c r="ABJ9">
        <f t="shared" si="563"/>
        <v>13.8</v>
      </c>
      <c r="ABK9">
        <f t="shared" si="563"/>
        <v>13.8</v>
      </c>
      <c r="ABL9">
        <f t="shared" si="563"/>
        <v>13.8</v>
      </c>
      <c r="ABM9">
        <f t="shared" si="563"/>
        <v>14</v>
      </c>
      <c r="ABN9">
        <f t="shared" si="563"/>
        <v>14</v>
      </c>
      <c r="ABO9">
        <f t="shared" si="563"/>
        <v>14</v>
      </c>
      <c r="ABP9">
        <f t="shared" si="563"/>
        <v>14</v>
      </c>
      <c r="ABQ9">
        <f t="shared" si="563"/>
        <v>14</v>
      </c>
      <c r="ABR9">
        <f t="shared" si="563"/>
        <v>14</v>
      </c>
      <c r="ABS9">
        <f t="shared" si="563"/>
        <v>14</v>
      </c>
      <c r="ABT9">
        <f t="shared" si="563"/>
        <v>14</v>
      </c>
      <c r="ABU9">
        <f t="shared" si="563"/>
        <v>14</v>
      </c>
      <c r="ABV9">
        <f t="shared" si="563"/>
        <v>14</v>
      </c>
      <c r="ABW9">
        <f t="shared" si="563"/>
        <v>14.2</v>
      </c>
      <c r="ABX9">
        <f t="shared" si="563"/>
        <v>14.2</v>
      </c>
      <c r="ABY9">
        <f t="shared" si="563"/>
        <v>14.2</v>
      </c>
      <c r="ABZ9">
        <f t="shared" si="563"/>
        <v>14.2</v>
      </c>
      <c r="ACA9">
        <f t="shared" si="563"/>
        <v>14.2</v>
      </c>
      <c r="ACB9">
        <f t="shared" si="563"/>
        <v>14.2</v>
      </c>
      <c r="ACC9">
        <f t="shared" si="563"/>
        <v>14.2</v>
      </c>
      <c r="ACD9">
        <f t="shared" si="563"/>
        <v>14.2</v>
      </c>
      <c r="ACE9">
        <f t="shared" si="563"/>
        <v>14.2</v>
      </c>
      <c r="ACF9">
        <f t="shared" si="563"/>
        <v>14.2</v>
      </c>
      <c r="ACG9">
        <f t="shared" si="563"/>
        <v>14.4</v>
      </c>
      <c r="ACH9">
        <f t="shared" si="563"/>
        <v>14.4</v>
      </c>
      <c r="ACI9">
        <f t="shared" si="563"/>
        <v>14.4</v>
      </c>
      <c r="ACJ9">
        <f t="shared" si="563"/>
        <v>14.4</v>
      </c>
      <c r="ACK9">
        <f t="shared" si="563"/>
        <v>14.4</v>
      </c>
      <c r="ACL9">
        <f t="shared" si="563"/>
        <v>14.4</v>
      </c>
      <c r="ACM9">
        <f t="shared" si="563"/>
        <v>14.4</v>
      </c>
      <c r="ACN9">
        <f t="shared" si="563"/>
        <v>14.4</v>
      </c>
      <c r="ACO9">
        <f t="shared" si="563"/>
        <v>14.4</v>
      </c>
      <c r="ACP9">
        <f t="shared" ref="ACP9:AFA9" si="564">ACP2/10</f>
        <v>14.4</v>
      </c>
      <c r="ACQ9">
        <f t="shared" si="564"/>
        <v>14.6</v>
      </c>
      <c r="ACR9">
        <f t="shared" si="564"/>
        <v>14.6</v>
      </c>
      <c r="ACS9">
        <f t="shared" si="564"/>
        <v>14.6</v>
      </c>
      <c r="ACT9">
        <f t="shared" si="564"/>
        <v>14.6</v>
      </c>
      <c r="ACU9">
        <f t="shared" si="564"/>
        <v>14.6</v>
      </c>
      <c r="ACV9">
        <f t="shared" si="564"/>
        <v>14.6</v>
      </c>
      <c r="ACW9">
        <f t="shared" si="564"/>
        <v>14.6</v>
      </c>
      <c r="ACX9">
        <f t="shared" si="564"/>
        <v>14.6</v>
      </c>
      <c r="ACY9">
        <f t="shared" si="564"/>
        <v>14.6</v>
      </c>
      <c r="ACZ9">
        <f t="shared" si="564"/>
        <v>14.6</v>
      </c>
      <c r="ADA9">
        <f t="shared" si="564"/>
        <v>14.8</v>
      </c>
      <c r="ADB9">
        <f t="shared" si="564"/>
        <v>14.8</v>
      </c>
      <c r="ADC9">
        <f t="shared" si="564"/>
        <v>14.8</v>
      </c>
      <c r="ADD9">
        <f t="shared" si="564"/>
        <v>14.8</v>
      </c>
      <c r="ADE9">
        <f t="shared" si="564"/>
        <v>14.8</v>
      </c>
      <c r="ADF9">
        <f t="shared" si="564"/>
        <v>14.8</v>
      </c>
      <c r="ADG9">
        <f t="shared" si="564"/>
        <v>14.8</v>
      </c>
      <c r="ADH9">
        <f t="shared" si="564"/>
        <v>14.8</v>
      </c>
      <c r="ADI9">
        <f t="shared" si="564"/>
        <v>14.8</v>
      </c>
      <c r="ADJ9">
        <f t="shared" si="564"/>
        <v>14.8</v>
      </c>
      <c r="ADK9">
        <f t="shared" si="564"/>
        <v>15</v>
      </c>
      <c r="ADL9">
        <f t="shared" si="564"/>
        <v>15</v>
      </c>
      <c r="ADM9">
        <f t="shared" si="564"/>
        <v>15</v>
      </c>
      <c r="ADN9">
        <f t="shared" si="564"/>
        <v>15</v>
      </c>
      <c r="ADO9">
        <f t="shared" si="564"/>
        <v>15</v>
      </c>
      <c r="ADP9">
        <f t="shared" si="564"/>
        <v>15</v>
      </c>
      <c r="ADQ9">
        <f t="shared" si="564"/>
        <v>15</v>
      </c>
      <c r="ADR9">
        <f t="shared" si="564"/>
        <v>15</v>
      </c>
      <c r="ADS9">
        <f t="shared" si="564"/>
        <v>15</v>
      </c>
      <c r="ADT9">
        <f t="shared" si="564"/>
        <v>15</v>
      </c>
      <c r="ADU9">
        <f t="shared" si="564"/>
        <v>15.2</v>
      </c>
      <c r="ADV9">
        <f t="shared" si="564"/>
        <v>15.2</v>
      </c>
      <c r="ADW9">
        <f t="shared" si="564"/>
        <v>15.2</v>
      </c>
      <c r="ADX9">
        <f t="shared" si="564"/>
        <v>15.2</v>
      </c>
      <c r="ADY9">
        <f t="shared" si="564"/>
        <v>15.2</v>
      </c>
      <c r="ADZ9">
        <f t="shared" si="564"/>
        <v>15.2</v>
      </c>
      <c r="AEA9">
        <f t="shared" si="564"/>
        <v>15.2</v>
      </c>
      <c r="AEB9">
        <f t="shared" si="564"/>
        <v>15.2</v>
      </c>
      <c r="AEC9">
        <f t="shared" si="564"/>
        <v>15.2</v>
      </c>
      <c r="AED9">
        <f t="shared" si="564"/>
        <v>15.2</v>
      </c>
      <c r="AEE9">
        <f t="shared" si="564"/>
        <v>15.4</v>
      </c>
      <c r="AEF9">
        <f t="shared" si="564"/>
        <v>15.4</v>
      </c>
      <c r="AEG9">
        <f t="shared" si="564"/>
        <v>15.4</v>
      </c>
      <c r="AEH9">
        <f t="shared" si="564"/>
        <v>15.4</v>
      </c>
      <c r="AEI9">
        <f t="shared" si="564"/>
        <v>15.4</v>
      </c>
      <c r="AEJ9">
        <f t="shared" si="564"/>
        <v>15.4</v>
      </c>
      <c r="AEK9">
        <f t="shared" si="564"/>
        <v>15.4</v>
      </c>
      <c r="AEL9">
        <f t="shared" si="564"/>
        <v>15.4</v>
      </c>
      <c r="AEM9">
        <f t="shared" si="564"/>
        <v>15.4</v>
      </c>
      <c r="AEN9">
        <f t="shared" si="564"/>
        <v>15.4</v>
      </c>
      <c r="AEO9">
        <f t="shared" si="564"/>
        <v>15.6</v>
      </c>
      <c r="AEP9">
        <f t="shared" si="564"/>
        <v>15.6</v>
      </c>
      <c r="AEQ9">
        <f t="shared" si="564"/>
        <v>15.6</v>
      </c>
      <c r="AER9">
        <f t="shared" si="564"/>
        <v>15.6</v>
      </c>
      <c r="AES9">
        <f t="shared" si="564"/>
        <v>15.6</v>
      </c>
      <c r="AET9">
        <f t="shared" si="564"/>
        <v>15.6</v>
      </c>
      <c r="AEU9">
        <f t="shared" si="564"/>
        <v>15.6</v>
      </c>
      <c r="AEV9">
        <f t="shared" si="564"/>
        <v>15.6</v>
      </c>
      <c r="AEW9">
        <f t="shared" si="564"/>
        <v>15.6</v>
      </c>
      <c r="AEX9">
        <f t="shared" si="564"/>
        <v>15.6</v>
      </c>
      <c r="AEY9">
        <f t="shared" si="564"/>
        <v>15.8</v>
      </c>
      <c r="AEZ9">
        <f t="shared" si="564"/>
        <v>15.8</v>
      </c>
      <c r="AFA9">
        <f t="shared" si="564"/>
        <v>15.8</v>
      </c>
      <c r="AFB9">
        <f t="shared" ref="AFB9:AHM9" si="565">AFB2/10</f>
        <v>15.8</v>
      </c>
      <c r="AFC9">
        <f t="shared" si="565"/>
        <v>15.8</v>
      </c>
      <c r="AFD9">
        <f t="shared" si="565"/>
        <v>15.8</v>
      </c>
      <c r="AFE9">
        <f t="shared" si="565"/>
        <v>15.8</v>
      </c>
      <c r="AFF9">
        <f t="shared" si="565"/>
        <v>15.8</v>
      </c>
      <c r="AFG9">
        <f t="shared" si="565"/>
        <v>15.8</v>
      </c>
      <c r="AFH9">
        <f t="shared" si="565"/>
        <v>15.8</v>
      </c>
      <c r="AFI9">
        <f t="shared" si="565"/>
        <v>16</v>
      </c>
      <c r="AFJ9">
        <f t="shared" si="565"/>
        <v>16</v>
      </c>
      <c r="AFK9">
        <f t="shared" si="565"/>
        <v>16</v>
      </c>
      <c r="AFL9">
        <f t="shared" si="565"/>
        <v>16</v>
      </c>
      <c r="AFM9">
        <f t="shared" si="565"/>
        <v>16</v>
      </c>
      <c r="AFN9">
        <f t="shared" si="565"/>
        <v>16</v>
      </c>
      <c r="AFO9">
        <f t="shared" si="565"/>
        <v>16</v>
      </c>
      <c r="AFP9">
        <f t="shared" si="565"/>
        <v>16</v>
      </c>
      <c r="AFQ9">
        <f t="shared" si="565"/>
        <v>16</v>
      </c>
      <c r="AFR9">
        <f t="shared" si="565"/>
        <v>16</v>
      </c>
      <c r="AFS9">
        <f t="shared" si="565"/>
        <v>16.2</v>
      </c>
      <c r="AFT9">
        <f t="shared" si="565"/>
        <v>16.2</v>
      </c>
      <c r="AFU9">
        <f t="shared" si="565"/>
        <v>16.2</v>
      </c>
      <c r="AFV9">
        <f t="shared" si="565"/>
        <v>16.2</v>
      </c>
      <c r="AFW9">
        <f t="shared" si="565"/>
        <v>16.2</v>
      </c>
      <c r="AFX9">
        <f t="shared" si="565"/>
        <v>16.2</v>
      </c>
      <c r="AFY9">
        <f t="shared" si="565"/>
        <v>16.2</v>
      </c>
      <c r="AFZ9">
        <f t="shared" si="565"/>
        <v>16.2</v>
      </c>
      <c r="AGA9">
        <f t="shared" si="565"/>
        <v>16.2</v>
      </c>
      <c r="AGB9">
        <f t="shared" si="565"/>
        <v>16.2</v>
      </c>
      <c r="AGC9">
        <f t="shared" si="565"/>
        <v>16.399999999999999</v>
      </c>
      <c r="AGD9">
        <f t="shared" si="565"/>
        <v>16.399999999999999</v>
      </c>
      <c r="AGE9">
        <f t="shared" si="565"/>
        <v>16.399999999999999</v>
      </c>
      <c r="AGF9">
        <f t="shared" si="565"/>
        <v>16.399999999999999</v>
      </c>
      <c r="AGG9">
        <f t="shared" si="565"/>
        <v>16.399999999999999</v>
      </c>
      <c r="AGH9">
        <f t="shared" si="565"/>
        <v>16.399999999999999</v>
      </c>
      <c r="AGI9">
        <f t="shared" si="565"/>
        <v>16.399999999999999</v>
      </c>
      <c r="AGJ9">
        <f t="shared" si="565"/>
        <v>16.399999999999999</v>
      </c>
      <c r="AGK9">
        <f t="shared" si="565"/>
        <v>16.399999999999999</v>
      </c>
      <c r="AGL9">
        <f t="shared" si="565"/>
        <v>16.399999999999999</v>
      </c>
      <c r="AGM9">
        <f t="shared" si="565"/>
        <v>16.600000000000001</v>
      </c>
      <c r="AGN9">
        <f t="shared" si="565"/>
        <v>16.600000000000001</v>
      </c>
      <c r="AGO9">
        <f t="shared" si="565"/>
        <v>16.600000000000001</v>
      </c>
      <c r="AGP9">
        <f t="shared" si="565"/>
        <v>16.600000000000001</v>
      </c>
      <c r="AGQ9">
        <f t="shared" si="565"/>
        <v>16.600000000000001</v>
      </c>
      <c r="AGR9">
        <f t="shared" si="565"/>
        <v>16.600000000000001</v>
      </c>
      <c r="AGS9">
        <f t="shared" si="565"/>
        <v>16.600000000000001</v>
      </c>
      <c r="AGT9">
        <f t="shared" si="565"/>
        <v>16.600000000000001</v>
      </c>
      <c r="AGU9">
        <f t="shared" si="565"/>
        <v>16.600000000000001</v>
      </c>
      <c r="AGV9">
        <f t="shared" si="565"/>
        <v>16.600000000000001</v>
      </c>
      <c r="AGW9">
        <f t="shared" si="565"/>
        <v>16.8</v>
      </c>
      <c r="AGX9">
        <f t="shared" si="565"/>
        <v>16.8</v>
      </c>
      <c r="AGY9">
        <f t="shared" si="565"/>
        <v>16.8</v>
      </c>
      <c r="AGZ9">
        <f t="shared" si="565"/>
        <v>16.8</v>
      </c>
      <c r="AHA9">
        <f t="shared" si="565"/>
        <v>16.8</v>
      </c>
      <c r="AHB9">
        <f t="shared" si="565"/>
        <v>16.8</v>
      </c>
      <c r="AHC9">
        <f t="shared" si="565"/>
        <v>16.8</v>
      </c>
      <c r="AHD9">
        <f t="shared" si="565"/>
        <v>16.8</v>
      </c>
      <c r="AHE9">
        <f t="shared" si="565"/>
        <v>16.8</v>
      </c>
      <c r="AHF9">
        <f t="shared" si="565"/>
        <v>16.8</v>
      </c>
      <c r="AHG9">
        <f t="shared" si="565"/>
        <v>17</v>
      </c>
      <c r="AHH9">
        <f t="shared" si="565"/>
        <v>17</v>
      </c>
      <c r="AHI9">
        <f t="shared" si="565"/>
        <v>17</v>
      </c>
      <c r="AHJ9">
        <f t="shared" si="565"/>
        <v>17</v>
      </c>
      <c r="AHK9">
        <f t="shared" si="565"/>
        <v>17</v>
      </c>
      <c r="AHL9">
        <f t="shared" si="565"/>
        <v>17</v>
      </c>
      <c r="AHM9">
        <f t="shared" si="565"/>
        <v>17</v>
      </c>
      <c r="AHN9">
        <f t="shared" ref="AHN9:AJY9" si="566">AHN2/10</f>
        <v>17</v>
      </c>
      <c r="AHO9">
        <f t="shared" si="566"/>
        <v>17</v>
      </c>
      <c r="AHP9">
        <f t="shared" si="566"/>
        <v>17</v>
      </c>
      <c r="AHQ9">
        <f t="shared" si="566"/>
        <v>17.2</v>
      </c>
      <c r="AHR9">
        <f t="shared" si="566"/>
        <v>17.2</v>
      </c>
      <c r="AHS9">
        <f t="shared" si="566"/>
        <v>17.2</v>
      </c>
      <c r="AHT9">
        <f t="shared" si="566"/>
        <v>17.2</v>
      </c>
      <c r="AHU9">
        <f t="shared" si="566"/>
        <v>17.2</v>
      </c>
      <c r="AHV9">
        <f t="shared" si="566"/>
        <v>17.2</v>
      </c>
      <c r="AHW9">
        <f t="shared" si="566"/>
        <v>17.2</v>
      </c>
      <c r="AHX9">
        <f t="shared" si="566"/>
        <v>17.2</v>
      </c>
      <c r="AHY9">
        <f t="shared" si="566"/>
        <v>17.2</v>
      </c>
      <c r="AHZ9">
        <f t="shared" si="566"/>
        <v>17.2</v>
      </c>
      <c r="AIA9">
        <f t="shared" si="566"/>
        <v>17.399999999999999</v>
      </c>
      <c r="AIB9">
        <f t="shared" si="566"/>
        <v>17.399999999999999</v>
      </c>
      <c r="AIC9">
        <f t="shared" si="566"/>
        <v>17.399999999999999</v>
      </c>
      <c r="AID9">
        <f t="shared" si="566"/>
        <v>17.399999999999999</v>
      </c>
      <c r="AIE9">
        <f t="shared" si="566"/>
        <v>17.399999999999999</v>
      </c>
      <c r="AIF9">
        <f t="shared" si="566"/>
        <v>17.399999999999999</v>
      </c>
      <c r="AIG9">
        <f t="shared" si="566"/>
        <v>17.399999999999999</v>
      </c>
      <c r="AIH9">
        <f t="shared" si="566"/>
        <v>17.399999999999999</v>
      </c>
      <c r="AII9">
        <f t="shared" si="566"/>
        <v>17.399999999999999</v>
      </c>
      <c r="AIJ9">
        <f t="shared" si="566"/>
        <v>17.399999999999999</v>
      </c>
      <c r="AIK9">
        <f t="shared" si="566"/>
        <v>17.600000000000001</v>
      </c>
      <c r="AIL9">
        <f t="shared" si="566"/>
        <v>17.600000000000001</v>
      </c>
      <c r="AIM9">
        <f t="shared" si="566"/>
        <v>17.600000000000001</v>
      </c>
      <c r="AIN9">
        <f t="shared" si="566"/>
        <v>17.600000000000001</v>
      </c>
      <c r="AIO9">
        <f t="shared" si="566"/>
        <v>17.600000000000001</v>
      </c>
      <c r="AIP9">
        <f t="shared" si="566"/>
        <v>17.600000000000001</v>
      </c>
      <c r="AIQ9">
        <f t="shared" si="566"/>
        <v>17.600000000000001</v>
      </c>
      <c r="AIR9">
        <f t="shared" si="566"/>
        <v>17.600000000000001</v>
      </c>
      <c r="AIS9">
        <f t="shared" si="566"/>
        <v>17.600000000000001</v>
      </c>
      <c r="AIT9">
        <f t="shared" si="566"/>
        <v>17.600000000000001</v>
      </c>
      <c r="AIU9">
        <f t="shared" si="566"/>
        <v>17.8</v>
      </c>
      <c r="AIV9">
        <f t="shared" si="566"/>
        <v>17.8</v>
      </c>
      <c r="AIW9">
        <f t="shared" si="566"/>
        <v>17.8</v>
      </c>
      <c r="AIX9">
        <f t="shared" si="566"/>
        <v>17.8</v>
      </c>
      <c r="AIY9">
        <f t="shared" si="566"/>
        <v>17.8</v>
      </c>
      <c r="AIZ9">
        <f t="shared" si="566"/>
        <v>17.8</v>
      </c>
      <c r="AJA9">
        <f t="shared" si="566"/>
        <v>17.8</v>
      </c>
      <c r="AJB9">
        <f t="shared" si="566"/>
        <v>17.8</v>
      </c>
      <c r="AJC9">
        <f t="shared" si="566"/>
        <v>17.8</v>
      </c>
      <c r="AJD9">
        <f t="shared" si="566"/>
        <v>17.8</v>
      </c>
      <c r="AJE9">
        <f t="shared" si="566"/>
        <v>18</v>
      </c>
      <c r="AJF9">
        <f t="shared" si="566"/>
        <v>18</v>
      </c>
      <c r="AJG9">
        <f t="shared" si="566"/>
        <v>18</v>
      </c>
      <c r="AJH9">
        <f t="shared" si="566"/>
        <v>18</v>
      </c>
      <c r="AJI9">
        <f t="shared" si="566"/>
        <v>18</v>
      </c>
      <c r="AJJ9">
        <f t="shared" si="566"/>
        <v>18</v>
      </c>
      <c r="AJK9">
        <f t="shared" si="566"/>
        <v>18</v>
      </c>
      <c r="AJL9">
        <f t="shared" si="566"/>
        <v>18</v>
      </c>
      <c r="AJM9">
        <f t="shared" si="566"/>
        <v>18</v>
      </c>
      <c r="AJN9">
        <f t="shared" si="566"/>
        <v>18</v>
      </c>
      <c r="AJO9">
        <f t="shared" si="566"/>
        <v>18.2</v>
      </c>
      <c r="AJP9">
        <f t="shared" si="566"/>
        <v>18.2</v>
      </c>
      <c r="AJQ9">
        <f t="shared" si="566"/>
        <v>18.2</v>
      </c>
      <c r="AJR9">
        <f t="shared" si="566"/>
        <v>18.2</v>
      </c>
      <c r="AJS9">
        <f t="shared" si="566"/>
        <v>18.2</v>
      </c>
      <c r="AJT9">
        <f t="shared" si="566"/>
        <v>18.2</v>
      </c>
      <c r="AJU9">
        <f t="shared" si="566"/>
        <v>18.2</v>
      </c>
      <c r="AJV9">
        <f t="shared" si="566"/>
        <v>18.2</v>
      </c>
      <c r="AJW9">
        <f t="shared" si="566"/>
        <v>18.2</v>
      </c>
      <c r="AJX9">
        <f t="shared" si="566"/>
        <v>18.2</v>
      </c>
      <c r="AJY9">
        <f t="shared" si="566"/>
        <v>18.399999999999999</v>
      </c>
      <c r="AJZ9">
        <f t="shared" ref="AJZ9:ALL9" si="567">AJZ2/10</f>
        <v>18.399999999999999</v>
      </c>
      <c r="AKA9">
        <f t="shared" si="567"/>
        <v>18.399999999999999</v>
      </c>
      <c r="AKB9">
        <f t="shared" si="567"/>
        <v>18.399999999999999</v>
      </c>
      <c r="AKC9">
        <f t="shared" si="567"/>
        <v>18.399999999999999</v>
      </c>
      <c r="AKD9">
        <f t="shared" si="567"/>
        <v>18.399999999999999</v>
      </c>
      <c r="AKE9">
        <f t="shared" si="567"/>
        <v>18.399999999999999</v>
      </c>
      <c r="AKF9">
        <f t="shared" si="567"/>
        <v>18.399999999999999</v>
      </c>
      <c r="AKG9">
        <f t="shared" si="567"/>
        <v>18.399999999999999</v>
      </c>
      <c r="AKH9">
        <f t="shared" si="567"/>
        <v>18.399999999999999</v>
      </c>
      <c r="AKI9">
        <f t="shared" si="567"/>
        <v>18.600000000000001</v>
      </c>
      <c r="AKJ9">
        <f t="shared" si="567"/>
        <v>18.600000000000001</v>
      </c>
      <c r="AKK9">
        <f t="shared" si="567"/>
        <v>18.600000000000001</v>
      </c>
      <c r="AKL9">
        <f t="shared" si="567"/>
        <v>18.600000000000001</v>
      </c>
      <c r="AKM9">
        <f t="shared" si="567"/>
        <v>18.600000000000001</v>
      </c>
      <c r="AKN9">
        <f t="shared" si="567"/>
        <v>18.600000000000001</v>
      </c>
      <c r="AKO9">
        <f t="shared" si="567"/>
        <v>18.600000000000001</v>
      </c>
      <c r="AKP9">
        <f t="shared" si="567"/>
        <v>18.600000000000001</v>
      </c>
      <c r="AKQ9">
        <f t="shared" si="567"/>
        <v>18.600000000000001</v>
      </c>
      <c r="AKR9">
        <f t="shared" si="567"/>
        <v>18.600000000000001</v>
      </c>
      <c r="AKS9">
        <f t="shared" si="567"/>
        <v>18.8</v>
      </c>
      <c r="AKT9">
        <f t="shared" si="567"/>
        <v>18.8</v>
      </c>
      <c r="AKU9">
        <f t="shared" si="567"/>
        <v>18.8</v>
      </c>
      <c r="AKV9">
        <f t="shared" si="567"/>
        <v>18.8</v>
      </c>
      <c r="AKW9">
        <f t="shared" si="567"/>
        <v>18.8</v>
      </c>
      <c r="AKX9">
        <f t="shared" si="567"/>
        <v>18.8</v>
      </c>
      <c r="AKY9">
        <f t="shared" si="567"/>
        <v>18.8</v>
      </c>
      <c r="AKZ9">
        <f t="shared" si="567"/>
        <v>18.8</v>
      </c>
      <c r="ALA9">
        <f t="shared" si="567"/>
        <v>18.8</v>
      </c>
      <c r="ALB9">
        <f t="shared" si="567"/>
        <v>18.8</v>
      </c>
      <c r="ALC9">
        <f t="shared" si="567"/>
        <v>19</v>
      </c>
      <c r="ALD9">
        <f t="shared" si="567"/>
        <v>19</v>
      </c>
      <c r="ALE9">
        <f t="shared" si="567"/>
        <v>19</v>
      </c>
      <c r="ALF9">
        <f t="shared" si="567"/>
        <v>19</v>
      </c>
      <c r="ALG9">
        <f t="shared" si="567"/>
        <v>19</v>
      </c>
      <c r="ALH9">
        <f t="shared" si="567"/>
        <v>19</v>
      </c>
      <c r="ALI9">
        <f t="shared" si="567"/>
        <v>19</v>
      </c>
      <c r="ALJ9">
        <f t="shared" si="567"/>
        <v>19</v>
      </c>
      <c r="ALK9">
        <f t="shared" si="567"/>
        <v>19</v>
      </c>
      <c r="ALL9">
        <f t="shared" si="567"/>
        <v>19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F865-4FF0-4B74-BF2E-1010872715B1}">
  <dimension ref="A1"/>
  <sheetViews>
    <sheetView topLeftCell="B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CBC2CC-3F2A-46A2-A186-520D9A348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rollMovement2</vt:lpstr>
      <vt:lpstr>pitchMovement2</vt:lpstr>
      <vt:lpstr>reallifemeasures</vt:lpstr>
      <vt:lpstr>yawMovement</vt:lpstr>
      <vt:lpstr>rollMovement (2)</vt:lpstr>
      <vt:lpstr>rollMovement</vt:lpstr>
      <vt:lpstr>pitchMovement</vt:lpstr>
      <vt:lpstr>pichMovement (3)</vt:lpstr>
      <vt:lpstr>pichMovement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troubat</dc:creator>
  <cp:lastModifiedBy>gaëtan troubat</cp:lastModifiedBy>
  <dcterms:created xsi:type="dcterms:W3CDTF">2025-11-04T17:52:56Z</dcterms:created>
  <dcterms:modified xsi:type="dcterms:W3CDTF">2025-12-15T19:12:30Z</dcterms:modified>
</cp:coreProperties>
</file>